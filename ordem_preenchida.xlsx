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rdem de Produção" sheetId="1" r:id="rId4"/>
    <sheet name="Pedido" sheetId="2" r:id="rId5"/>
  </sheets>
  <definedNames>
    <definedName name="_xlnm.Print_Area" localSheetId="0">'Ordem de Produção'!$A$1:$K$13</definedName>
    <definedName name="_xlnm.Print_Area" localSheetId="1">'Pedido'!$B$1:$O$52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<sst xmlns="http://schemas.openxmlformats.org/spreadsheetml/2006/main" uniqueCount="60">
  <si>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NF:</t>
  </si>
  <si>
    <t>Nº Proposta</t>
  </si>
  <si>
    <t>CLIENTE:</t>
  </si>
  <si>
    <t>TRANSPORTADORA:</t>
  </si>
  <si>
    <t>STATUS:</t>
  </si>
  <si>
    <t xml:space="preserve">Dimenssões </t>
  </si>
  <si>
    <t>Item</t>
  </si>
  <si>
    <t>Produto</t>
  </si>
  <si>
    <t>Comprimento(mm)</t>
  </si>
  <si>
    <t>Largura(mm)</t>
  </si>
  <si>
    <t>Altura(mm)</t>
  </si>
  <si>
    <t>Peso(kg)</t>
  </si>
  <si>
    <t>Volume</t>
  </si>
  <si>
    <t>Agimix Soluções Industriais</t>
  </si>
  <si>
    <t>PEDIDO DE VENDA</t>
  </si>
  <si>
    <t>CNPJ: 28.143.296/0001-19</t>
  </si>
  <si>
    <t>Cliente: PMW Com de Revestimento</t>
  </si>
  <si>
    <t>Data: 21/10/2025</t>
  </si>
  <si>
    <t>CPF/CNPJ:</t>
  </si>
  <si>
    <t>I.E</t>
  </si>
  <si>
    <t>Data venda:</t>
  </si>
  <si>
    <t>Previsão entrega:</t>
  </si>
  <si>
    <t>N.º Proposta:</t>
  </si>
  <si>
    <t>INFORMAÇÕES DE CONTATO</t>
  </si>
  <si>
    <t>Nome / Setor</t>
  </si>
  <si>
    <t>Telefone</t>
  </si>
  <si>
    <t>E-mail</t>
  </si>
  <si>
    <t>DADOS DO PRODUTO</t>
  </si>
  <si>
    <t>PH</t>
  </si>
  <si>
    <t>Produto similar</t>
  </si>
  <si>
    <t>Explosivo</t>
  </si>
  <si>
    <t>NÃO</t>
  </si>
  <si>
    <t>Viscosidade</t>
  </si>
  <si>
    <t xml:space="preserve">Densidade </t>
  </si>
  <si>
    <t>Temperatura</t>
  </si>
  <si>
    <t>EQUIPAMENTO</t>
  </si>
  <si>
    <t>Código</t>
  </si>
  <si>
    <t>Descrição</t>
  </si>
  <si>
    <t>Contato c/ produto</t>
  </si>
  <si>
    <t>Externo</t>
  </si>
  <si>
    <t>CV</t>
  </si>
  <si>
    <t>Tensão</t>
  </si>
  <si>
    <t>QNT</t>
  </si>
  <si>
    <t>Valor uni.</t>
  </si>
  <si>
    <t>Valor total</t>
  </si>
  <si>
    <t>Total</t>
  </si>
  <si>
    <t>CIF</t>
  </si>
  <si>
    <t>Rodonaves</t>
  </si>
  <si>
    <t xml:space="preserve">DIMENSÕES </t>
  </si>
  <si>
    <t>Altura</t>
  </si>
  <si>
    <t>Peso</t>
  </si>
  <si>
    <t>FRETE</t>
  </si>
  <si>
    <t>Frete:</t>
  </si>
  <si>
    <t>Valor</t>
  </si>
  <si>
    <t>Transportadora</t>
  </si>
  <si>
    <t>Observações</t>
  </si>
  <si>
    <t xml:space="preserve">Dados para Faturamento </t>
  </si>
  <si>
    <t>Forma de pagamento:</t>
  </si>
  <si>
    <t>Contato:</t>
  </si>
  <si>
    <t>ASSINATURA DO CLIENTE</t>
  </si>
</sst>
</file>

<file path=xl/styles.xml><?xml version="1.0" encoding="utf-8"?>
<styleSheet xmlns="http://schemas.openxmlformats.org/spreadsheetml/2006/main">
  <numFmts count="7">
    <numFmt numFmtId="164" formatCode="_-&quot;R$&quot;\ * #,##0.00_-;\-&quot;R$&quot;\ * #,##0.00_-;_-&quot;R$&quot;\ * &quot;-&quot;??_-;_-@_-"/>
    <numFmt numFmtId="165" formatCode="&quot;R$&quot;\ #,##0.00;[Red]\-&quot;R$&quot;\ #,##0.00"/>
    <numFmt numFmtId="166" formatCode="&quot;R$&quot;\ #,##0.00"/>
    <numFmt numFmtId="167" formatCode="00\.000\.000\/0000\-00"/>
    <numFmt numFmtId="168" formatCode="[&lt;=9999999]###\-####;\(###\)\ ###\-####"/>
    <numFmt numFmtId="169" formatCode="0\ &quot;mm&quot;"/>
    <numFmt numFmtId="170" formatCode="&quot;Nº&quot;\ #,##0"/>
  </numFmts>
  <fonts count="18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0"/>
      <i val="0"/>
      <strike val="0"/>
      <u val="none"/>
      <sz val="11"/>
      <color theme="1"/>
      <name val="Poppins"/>
    </font>
    <font>
      <b val="0"/>
      <i val="0"/>
      <strike val="0"/>
      <u val="none"/>
      <sz val="11"/>
      <color theme="0"/>
      <name val="Poppins"/>
    </font>
    <font>
      <b val="1"/>
      <i val="0"/>
      <strike val="0"/>
      <u val="none"/>
      <sz val="11"/>
      <color theme="1"/>
      <name val="Poppins"/>
    </font>
    <font>
      <b val="0"/>
      <i val="0"/>
      <strike val="0"/>
      <u val="none"/>
      <sz val="11"/>
      <color theme="1"/>
      <name val="Poppins SemiBold"/>
    </font>
    <font>
      <b val="0"/>
      <i val="0"/>
      <strike val="0"/>
      <u val="none"/>
      <sz val="10"/>
      <color theme="1"/>
      <name val="Poppins SemiBold"/>
    </font>
    <font>
      <b val="1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20"/>
      <color theme="1"/>
      <name val="Aptos Narrow"/>
      <scheme val="minor"/>
    </font>
    <font>
      <b val="0"/>
      <i val="0"/>
      <strike val="0"/>
      <u val="none"/>
      <sz val="22"/>
      <color theme="1"/>
      <name val="Aptos Narrow"/>
      <scheme val="minor"/>
    </font>
    <font>
      <b val="0"/>
      <i val="0"/>
      <strike val="0"/>
      <u val="none"/>
      <sz val="18"/>
      <color theme="1"/>
      <name val="Aptos Narrow"/>
      <scheme val="minor"/>
    </font>
    <font>
      <b val="1"/>
      <i val="0"/>
      <strike val="0"/>
      <u val="none"/>
      <sz val="20"/>
      <color theme="1"/>
      <name val="Aptos Narrow"/>
      <scheme val="minor"/>
    </font>
    <font>
      <b val="1"/>
      <i val="0"/>
      <strike val="0"/>
      <u val="none"/>
      <sz val="14"/>
      <color theme="1"/>
      <name val="Aptos Narrow"/>
      <scheme val="minor"/>
    </font>
    <font>
      <b val="1"/>
      <i val="0"/>
      <strike val="0"/>
      <u val="none"/>
      <sz val="11"/>
      <color theme="1"/>
      <name val="Poppins SemiBold"/>
    </font>
    <font>
      <b val="0"/>
      <i val="0"/>
      <strike val="0"/>
      <u val="single"/>
      <sz val="11"/>
      <color theme="10"/>
      <name val="Poppins"/>
    </font>
    <font>
      <b val="0"/>
      <i val="0"/>
      <strike val="0"/>
      <u val="none"/>
      <sz val="11"/>
      <color rgb="FF000000"/>
      <name val="Poppins"/>
    </font>
    <font>
      <b val="0"/>
      <i val="0"/>
      <strike val="0"/>
      <u val="none"/>
      <sz val="14"/>
      <color theme="1"/>
      <name val="Poppins SemiBold"/>
    </font>
    <font>
      <b val="0"/>
      <i val="0"/>
      <strike val="0"/>
      <u val="none"/>
      <sz val="18"/>
      <color theme="1"/>
      <name val="Poppins SemiBold"/>
    </font>
  </fonts>
  <fills count="5">
    <fill>
      <patternFill patternType="none"/>
    </fill>
    <fill>
      <patternFill patternType="gray125"/>
    </fill>
    <fill>
      <patternFill patternType="solid">
        <fgColor rgb="FFD0D0D0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left" vertical="bottom" textRotation="0" wrapText="false" shrinkToFit="false"/>
    </xf>
    <xf xfId="0" fontId="0" numFmtId="0" fillId="0" borderId="4" applyFont="0" applyNumberFormat="0" applyFill="0" applyBorder="1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5" applyFont="0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0"/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2" borderId="8" applyFont="0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9" applyFont="1" applyNumberFormat="0" applyFill="0" applyBorder="1" applyAlignment="0"/>
    <xf xfId="0" fontId="2" numFmtId="0" fillId="0" borderId="9" applyFont="1" applyNumberFormat="0" applyFill="0" applyBorder="1" applyAlignment="1">
      <alignment vertical="top" textRotation="0" wrapText="false" shrinkToFit="false"/>
    </xf>
    <xf xfId="0" fontId="5" numFmtId="0" fillId="3" borderId="10" applyFont="1" applyNumberFormat="0" applyFill="1" applyBorder="1" applyAlignment="1">
      <alignment horizontal="left" vertical="center" textRotation="0" wrapText="true" shrinkToFit="false"/>
    </xf>
    <xf xfId="0" fontId="5" numFmtId="0" fillId="3" borderId="10" applyFont="1" applyNumberFormat="0" applyFill="1" applyBorder="1" applyAlignment="1">
      <alignment vertical="center" textRotation="0" wrapText="true" shrinkToFit="false"/>
    </xf>
    <xf xfId="0" fontId="5" numFmtId="0" fillId="3" borderId="10" applyFont="1" applyNumberFormat="0" applyFill="1" applyBorder="1" applyAlignment="1">
      <alignment horizontal="center" vertical="center" textRotation="0" wrapText="true" shrinkToFit="false"/>
    </xf>
    <xf xfId="0" fontId="5" numFmtId="0" fillId="3" borderId="11" applyFont="1" applyNumberFormat="0" applyFill="1" applyBorder="1" applyAlignment="1">
      <alignment horizontal="center" vertical="center" textRotation="0" wrapText="true" shrinkToFit="false"/>
    </xf>
    <xf xfId="0" fontId="5" numFmtId="0" fillId="3" borderId="12" applyFont="1" applyNumberFormat="0" applyFill="1" applyBorder="1" applyAlignment="1">
      <alignment horizontal="center" vertical="center" textRotation="0" wrapText="true" shrinkToFit="false"/>
    </xf>
    <xf xfId="0" fontId="5" numFmtId="0" fillId="3" borderId="10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true" shrinkToFit="false"/>
    </xf>
    <xf xfId="0" fontId="2" numFmtId="0" fillId="0" borderId="12" applyFont="1" applyNumberFormat="0" applyFill="0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165" fillId="0" borderId="10" applyFont="1" applyNumberFormat="1" applyFill="0" applyBorder="1" applyAlignment="1">
      <alignment vertical="center" textRotation="0" wrapText="false" shrinkToFit="false"/>
    </xf>
    <xf xfId="0" fontId="2" numFmtId="165" fillId="0" borderId="11" applyFont="1" applyNumberFormat="1" applyFill="0" applyBorder="1" applyAlignment="1">
      <alignment horizontal="center" vertical="center" textRotation="0" wrapText="false" shrinkToFit="false"/>
    </xf>
    <xf xfId="0" fontId="2" numFmtId="164" fillId="0" borderId="10" applyFont="1" applyNumberFormat="1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vertical="center" textRotation="0" wrapText="false" shrinkToFit="false"/>
    </xf>
    <xf xfId="0" fontId="6" numFmtId="0" fillId="2" borderId="10" applyFont="1" applyNumberFormat="0" applyFill="1" applyBorder="1" applyAlignment="1">
      <alignment horizontal="left" vertical="center" textRotation="0" wrapText="false" shrinkToFit="false"/>
    </xf>
    <xf xfId="0" fontId="2" numFmtId="166" fillId="0" borderId="10" applyFont="1" applyNumberFormat="1" applyFill="0" applyBorder="1" applyAlignment="1">
      <alignment horizontal="center" vertical="center" textRotation="0" wrapText="false" shrinkToFit="false"/>
    </xf>
    <xf xfId="0" fontId="0" numFmtId="0" fillId="2" borderId="8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7" numFmtId="0" fillId="3" borderId="14" applyFont="1" applyNumberFormat="0" applyFill="1" applyBorder="1" applyAlignment="1">
      <alignment horizontal="left" vertical="center" textRotation="0" wrapText="false" shrinkToFit="false"/>
    </xf>
    <xf xfId="0" fontId="7" numFmtId="0" fillId="3" borderId="15" applyFont="1" applyNumberFormat="0" applyFill="1" applyBorder="1" applyAlignment="1">
      <alignment horizontal="left" vertical="center" textRotation="0" wrapText="false" shrinkToFit="false"/>
    </xf>
    <xf xfId="0" fontId="7" numFmtId="0" fillId="3" borderId="16" applyFont="1" applyNumberFormat="0" applyFill="1" applyBorder="1" applyAlignment="1">
      <alignment horizontal="left" vertical="center" textRotation="0" wrapText="false" shrinkToFit="false"/>
    </xf>
    <xf xfId="0" fontId="7" numFmtId="0" fillId="3" borderId="17" applyFont="1" applyNumberFormat="0" applyFill="1" applyBorder="1" applyAlignment="1">
      <alignment horizontal="left" vertical="center" textRotation="0" wrapText="false" shrinkToFit="false"/>
    </xf>
    <xf xfId="0" fontId="7" numFmtId="0" fillId="3" borderId="18" applyFont="1" applyNumberFormat="0" applyFill="1" applyBorder="1" applyAlignment="1">
      <alignment horizontal="left" vertical="center" textRotation="0" wrapText="false" shrinkToFit="false"/>
    </xf>
    <xf xfId="0" fontId="7" numFmtId="0" fillId="3" borderId="19" applyFont="1" applyNumberFormat="0" applyFill="1" applyBorder="1" applyAlignment="1">
      <alignment horizontal="left" vertical="center" textRotation="0" wrapText="false" shrinkToFit="false"/>
    </xf>
    <xf xfId="0" fontId="7" numFmtId="0" fillId="3" borderId="20" applyFont="1" applyNumberFormat="0" applyFill="1" applyBorder="1" applyAlignment="1">
      <alignment horizontal="left" vertical="center" textRotation="0" wrapText="false" shrinkToFit="false"/>
    </xf>
    <xf xfId="0" fontId="7" numFmtId="0" fillId="3" borderId="21" applyFont="1" applyNumberFormat="0" applyFill="1" applyBorder="1" applyAlignment="1">
      <alignment horizontal="left" vertical="center" textRotation="0" wrapText="false" shrinkToFit="false"/>
    </xf>
    <xf xfId="0" fontId="7" numFmtId="0" fillId="3" borderId="22" applyFont="1" applyNumberFormat="0" applyFill="1" applyBorder="1" applyAlignment="1">
      <alignment horizontal="left" vertical="center" textRotation="0" wrapText="false" shrinkToFit="false"/>
    </xf>
    <xf xfId="0" fontId="7" numFmtId="0" fillId="3" borderId="23" applyFont="1" applyNumberFormat="0" applyFill="1" applyBorder="1" applyAlignment="1">
      <alignment horizontal="left" vertical="center" textRotation="0" wrapText="false" shrinkToFit="false"/>
    </xf>
    <xf xfId="0" fontId="0" numFmtId="0" fillId="3" borderId="20" applyFont="0" applyNumberFormat="0" applyFill="1" applyBorder="1" applyAlignment="1">
      <alignment horizontal="center" vertical="bottom" textRotation="0" wrapText="false" shrinkToFit="false"/>
    </xf>
    <xf xfId="0" fontId="0" numFmtId="0" fillId="3" borderId="21" applyFont="0" applyNumberFormat="0" applyFill="1" applyBorder="1" applyAlignment="1">
      <alignment horizontal="center" vertical="bottom" textRotation="0" wrapText="false" shrinkToFit="false"/>
    </xf>
    <xf xfId="0" fontId="0" numFmtId="0" fillId="3" borderId="22" applyFont="0" applyNumberFormat="0" applyFill="1" applyBorder="1" applyAlignment="1">
      <alignment horizontal="center" vertical="bottom" textRotation="0" wrapText="false" shrinkToFit="false"/>
    </xf>
    <xf xfId="0" fontId="0" numFmtId="0" fillId="3" borderId="24" applyFont="0" applyNumberFormat="0" applyFill="1" applyBorder="1" applyAlignment="1">
      <alignment horizontal="center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25" applyFont="0" applyNumberFormat="0" applyFill="1" applyBorder="1" applyAlignment="1">
      <alignment horizontal="center" vertical="bottom" textRotation="0" wrapText="false" shrinkToFit="false"/>
    </xf>
    <xf xfId="0" fontId="0" numFmtId="0" fillId="3" borderId="17" applyFont="0" applyNumberFormat="0" applyFill="1" applyBorder="1" applyAlignment="1">
      <alignment horizontal="center" vertical="bottom" textRotation="0" wrapText="false" shrinkToFit="false"/>
    </xf>
    <xf xfId="0" fontId="0" numFmtId="0" fillId="3" borderId="18" applyFont="0" applyNumberFormat="0" applyFill="1" applyBorder="1" applyAlignment="1">
      <alignment horizontal="center" vertical="bottom" textRotation="0" wrapText="false" shrinkToFit="false"/>
    </xf>
    <xf xfId="0" fontId="0" numFmtId="0" fillId="3" borderId="23" applyFont="0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8" numFmtId="0" fillId="0" borderId="26" applyFont="1" applyNumberFormat="0" applyFill="0" applyBorder="1" applyAlignment="1">
      <alignment horizontal="center" vertical="top" textRotation="0" wrapText="false" shrinkToFit="false"/>
    </xf>
    <xf xfId="0" fontId="8" numFmtId="0" fillId="0" borderId="27" applyFont="1" applyNumberFormat="0" applyFill="0" applyBorder="1" applyAlignment="1">
      <alignment horizontal="center" vertical="top" textRotation="0" wrapText="false" shrinkToFit="false"/>
    </xf>
    <xf xfId="0" fontId="8" numFmtId="0" fillId="0" borderId="28" applyFont="1" applyNumberFormat="0" applyFill="0" applyBorder="1" applyAlignment="1">
      <alignment horizontal="center" vertical="top" textRotation="0" wrapText="false" shrinkToFit="false"/>
    </xf>
    <xf xfId="0" fontId="8" numFmtId="0" fillId="0" borderId="9" applyFont="1" applyNumberFormat="0" applyFill="0" applyBorder="1" applyAlignment="1">
      <alignment horizontal="center" vertical="top" textRotation="0" wrapText="false" shrinkToFit="false"/>
    </xf>
    <xf xfId="0" fontId="8" numFmtId="0" fillId="0" borderId="2" applyFont="1" applyNumberFormat="0" applyFill="0" applyBorder="1" applyAlignment="1">
      <alignment horizontal="center" vertical="top" textRotation="0" wrapText="false" shrinkToFit="false"/>
    </xf>
    <xf xfId="0" fontId="8" numFmtId="0" fillId="0" borderId="0" applyFont="1" applyNumberFormat="0" applyFill="0" applyBorder="0" applyAlignment="1">
      <alignment horizontal="center" vertical="top" textRotation="0" wrapText="false" shrinkToFit="false"/>
    </xf>
    <xf xfId="0" fontId="9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28" applyFont="1" applyNumberFormat="0" applyFill="0" applyBorder="1" applyAlignment="1">
      <alignment horizontal="center" vertical="center" textRotation="0" wrapText="false" shrinkToFit="false"/>
    </xf>
    <xf xfId="0" fontId="9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11" numFmtId="0" fillId="3" borderId="6" applyFont="1" applyNumberFormat="0" applyFill="1" applyBorder="1" applyAlignment="1">
      <alignment horizontal="center" vertical="top" textRotation="0" wrapText="false" shrinkToFit="false"/>
    </xf>
    <xf xfId="0" fontId="11" numFmtId="0" fillId="3" borderId="29" applyFont="1" applyNumberFormat="0" applyFill="1" applyBorder="1" applyAlignment="1">
      <alignment horizontal="center" vertical="top" textRotation="0" wrapText="false" shrinkToFit="false"/>
    </xf>
    <xf xfId="0" fontId="12" numFmtId="0" fillId="3" borderId="6" applyFont="1" applyNumberFormat="0" applyFill="1" applyBorder="1" applyAlignment="1">
      <alignment horizontal="center" vertical="top" textRotation="0" wrapText="true" shrinkToFit="false"/>
    </xf>
    <xf xfId="0" fontId="12" numFmtId="0" fillId="3" borderId="30" applyFont="1" applyNumberFormat="0" applyFill="1" applyBorder="1" applyAlignment="1">
      <alignment horizontal="center" vertical="top" textRotation="0" wrapText="true" shrinkToFit="false"/>
    </xf>
    <xf xfId="0" fontId="12" numFmtId="0" fillId="3" borderId="29" applyFont="1" applyNumberFormat="0" applyFill="1" applyBorder="1" applyAlignment="1">
      <alignment horizontal="center" vertical="top" textRotation="0" wrapText="tru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3" borderId="26" applyFont="0" applyNumberFormat="0" applyFill="1" applyBorder="1" applyAlignment="1">
      <alignment horizontal="center" vertical="bottom" textRotation="0" wrapText="false" shrinkToFit="false"/>
    </xf>
    <xf xfId="0" fontId="0" numFmtId="0" fillId="3" borderId="27" applyFont="0" applyNumberFormat="0" applyFill="1" applyBorder="1" applyAlignment="1">
      <alignment horizontal="center" vertical="bottom" textRotation="0" wrapText="false" shrinkToFit="false"/>
    </xf>
    <xf xfId="0" fontId="0" numFmtId="0" fillId="3" borderId="31" applyFont="0" applyNumberFormat="0" applyFill="1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2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5" numFmtId="0" fillId="3" borderId="33" applyFont="1" applyNumberFormat="0" applyFill="1" applyBorder="1" applyAlignment="1">
      <alignment horizontal="left" vertical="center" textRotation="0" wrapText="false" shrinkToFit="false"/>
    </xf>
    <xf xfId="0" fontId="5" numFmtId="0" fillId="3" borderId="34" applyFont="1" applyNumberFormat="0" applyFill="1" applyBorder="1" applyAlignment="1">
      <alignment horizontal="left" vertical="center" textRotation="0" wrapText="false" shrinkToFit="false"/>
    </xf>
    <xf xfId="0" fontId="5" numFmtId="0" fillId="3" borderId="16" applyFont="1" applyNumberFormat="0" applyFill="1" applyBorder="1" applyAlignment="1">
      <alignment horizontal="left" vertical="center" textRotation="0" wrapText="false" shrinkToFit="false"/>
    </xf>
    <xf xfId="0" fontId="5" numFmtId="0" fillId="3" borderId="35" applyFont="1" applyNumberFormat="0" applyFill="1" applyBorder="1" applyAlignment="1">
      <alignment horizontal="left" vertical="center" textRotation="0" wrapText="false" shrinkToFit="false"/>
    </xf>
    <xf xfId="0" fontId="2" numFmtId="0" fillId="0" borderId="33" applyFont="1" applyNumberFormat="0" applyFill="0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35" applyFont="1" applyNumberFormat="0" applyFill="0" applyBorder="1" applyAlignment="1">
      <alignment horizontal="center" vertical="center" textRotation="0" wrapText="true" shrinkToFit="false"/>
    </xf>
    <xf xfId="0" fontId="2" numFmtId="167" fillId="0" borderId="33" applyFont="1" applyNumberFormat="1" applyFill="0" applyBorder="1" applyAlignment="1">
      <alignment horizontal="center" vertical="center" textRotation="0" wrapText="false" shrinkToFit="false"/>
    </xf>
    <xf xfId="0" fontId="2" numFmtId="167" fillId="0" borderId="36" applyFont="1" applyNumberFormat="1" applyFill="0" applyBorder="1" applyAlignment="1">
      <alignment horizontal="center" vertical="center" textRotation="0" wrapText="false" shrinkToFit="false"/>
    </xf>
    <xf xfId="0" fontId="2" numFmtId="167" fillId="0" borderId="34" applyFont="1" applyNumberFormat="1" applyFill="0" applyBorder="1" applyAlignment="1">
      <alignment horizontal="center" vertical="center" textRotation="0" wrapText="false" shrinkToFit="false"/>
    </xf>
    <xf xfId="0" fontId="2" numFmtId="167" fillId="0" borderId="16" applyFont="1" applyNumberFormat="1" applyFill="0" applyBorder="1" applyAlignment="1">
      <alignment horizontal="center" vertical="center" textRotation="0" wrapText="false" shrinkToFit="false"/>
    </xf>
    <xf xfId="0" fontId="2" numFmtId="167" fillId="0" borderId="37" applyFont="1" applyNumberFormat="1" applyFill="0" applyBorder="1" applyAlignment="1">
      <alignment horizontal="center" vertical="center" textRotation="0" wrapText="false" shrinkToFit="false"/>
    </xf>
    <xf xfId="0" fontId="2" numFmtId="167" fillId="0" borderId="35" applyFont="1" applyNumberFormat="1" applyFill="0" applyBorder="1" applyAlignment="1">
      <alignment horizontal="center" vertical="center" textRotation="0" wrapText="false" shrinkToFit="false"/>
    </xf>
    <xf xfId="0" fontId="5" numFmtId="0" fillId="3" borderId="1" applyFont="1" applyNumberFormat="0" applyFill="1" applyBorder="1" applyAlignment="1">
      <alignment horizontal="left" vertical="center" textRotation="0" wrapText="false" shrinkToFit="false"/>
    </xf>
    <xf xfId="0" fontId="5" numFmtId="0" fillId="3" borderId="15" applyFont="1" applyNumberFormat="0" applyFill="1" applyBorder="1" applyAlignment="1">
      <alignment horizontal="left" vertical="center" textRotation="0" wrapText="false" shrinkToFit="false"/>
    </xf>
    <xf xfId="0" fontId="2" numFmtId="12" fillId="0" borderId="33" applyFont="1" applyNumberFormat="1" applyFill="0" applyBorder="1" applyAlignment="1">
      <alignment horizontal="center" vertical="center" textRotation="0" wrapText="false" shrinkToFit="false"/>
    </xf>
    <xf xfId="0" fontId="2" numFmtId="12" fillId="0" borderId="36" applyFont="1" applyNumberFormat="1" applyFill="0" applyBorder="1" applyAlignment="1">
      <alignment horizontal="center" vertical="center" textRotation="0" wrapText="false" shrinkToFit="false"/>
    </xf>
    <xf xfId="0" fontId="2" numFmtId="12" fillId="0" borderId="34" applyFont="1" applyNumberFormat="1" applyFill="0" applyBorder="1" applyAlignment="1">
      <alignment horizontal="center" vertical="center" textRotation="0" wrapText="false" shrinkToFit="false"/>
    </xf>
    <xf xfId="0" fontId="2" numFmtId="12" fillId="0" borderId="16" applyFont="1" applyNumberFormat="1" applyFill="0" applyBorder="1" applyAlignment="1">
      <alignment horizontal="center" vertical="center" textRotation="0" wrapText="false" shrinkToFit="false"/>
    </xf>
    <xf xfId="0" fontId="2" numFmtId="12" fillId="0" borderId="37" applyFont="1" applyNumberFormat="1" applyFill="0" applyBorder="1" applyAlignment="1">
      <alignment horizontal="center" vertical="center" textRotation="0" wrapText="false" shrinkToFit="false"/>
    </xf>
    <xf xfId="0" fontId="2" numFmtId="12" fillId="0" borderId="35" applyFont="1" applyNumberFormat="1" applyFill="0" applyBorder="1" applyAlignment="1">
      <alignment horizontal="center" vertical="center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3" numFmtId="0" fillId="0" borderId="10" applyFont="1" applyNumberFormat="0" applyFill="0" applyBorder="1" applyAlignment="1">
      <alignment horizontal="center" vertical="center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bottom" textRotation="0" wrapText="false" shrinkToFit="false"/>
    </xf>
    <xf xfId="0" fontId="14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4" borderId="38" applyFont="1" applyNumberFormat="0" applyFill="1" applyBorder="1" applyAlignment="1">
      <alignment horizontal="center" vertical="bottom" textRotation="0" wrapText="false" shrinkToFit="false"/>
    </xf>
    <xf xfId="0" fontId="2" numFmtId="0" fillId="4" borderId="12" applyFont="1" applyNumberFormat="0" applyFill="1" applyBorder="1" applyAlignment="1">
      <alignment horizontal="center" vertical="bottom" textRotation="0" wrapText="false" shrinkToFit="false"/>
    </xf>
    <xf xfId="0" fontId="2" numFmtId="165" fillId="0" borderId="11" applyFont="1" applyNumberFormat="1" applyFill="0" applyBorder="1" applyAlignment="1">
      <alignment horizontal="center" vertical="bottom" textRotation="0" wrapText="false" shrinkToFit="false"/>
    </xf>
    <xf xfId="0" fontId="2" numFmtId="165" fillId="0" borderId="38" applyFont="1" applyNumberFormat="1" applyFill="0" applyBorder="1" applyAlignment="1">
      <alignment horizontal="center" vertical="bottom" textRotation="0" wrapText="false" shrinkToFit="false"/>
    </xf>
    <xf xfId="0" fontId="2" numFmtId="165" fillId="0" borderId="12" applyFont="1" applyNumberFormat="1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true" shrinkToFit="false"/>
    </xf>
    <xf xfId="0" fontId="2" numFmtId="164" fillId="0" borderId="33" applyFont="1" applyNumberFormat="1" applyFill="0" applyBorder="1" applyAlignment="1">
      <alignment horizontal="center" vertical="bottom" textRotation="0" wrapText="false" shrinkToFit="false"/>
    </xf>
    <xf xfId="0" fontId="2" numFmtId="164" fillId="0" borderId="36" applyFont="1" applyNumberFormat="1" applyFill="0" applyBorder="1" applyAlignment="1">
      <alignment horizontal="center" vertical="bottom" textRotation="0" wrapText="false" shrinkToFit="false"/>
    </xf>
    <xf xfId="0" fontId="2" numFmtId="164" fillId="0" borderId="34" applyFont="1" applyNumberFormat="1" applyFill="0" applyBorder="1" applyAlignment="1">
      <alignment horizontal="center" vertical="bottom" textRotation="0" wrapText="false" shrinkToFit="false"/>
    </xf>
    <xf xfId="0" fontId="2" numFmtId="164" fillId="0" borderId="39" applyFont="1" applyNumberFormat="1" applyFill="0" applyBorder="1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40" applyFont="1" applyNumberFormat="1" applyFill="0" applyBorder="1" applyAlignment="1">
      <alignment horizontal="center" vertical="bottom" textRotation="0" wrapText="false" shrinkToFit="false"/>
    </xf>
    <xf xfId="0" fontId="2" numFmtId="164" fillId="0" borderId="16" applyFont="1" applyNumberFormat="1" applyFill="0" applyBorder="1" applyAlignment="1">
      <alignment horizontal="center" vertical="bottom" textRotation="0" wrapText="false" shrinkToFit="false"/>
    </xf>
    <xf xfId="0" fontId="2" numFmtId="164" fillId="0" borderId="37" applyFont="1" applyNumberFormat="1" applyFill="0" applyBorder="1" applyAlignment="1">
      <alignment horizontal="center" vertical="bottom" textRotation="0" wrapText="false" shrinkToFit="false"/>
    </xf>
    <xf xfId="0" fontId="2" numFmtId="164" fillId="0" borderId="35" applyFont="1" applyNumberFormat="1" applyFill="0" applyBorder="1" applyAlignment="1">
      <alignment horizontal="center" vertical="bottom" textRotation="0" wrapText="false" shrinkToFit="false"/>
    </xf>
    <xf xfId="0" fontId="2" numFmtId="168" fillId="0" borderId="10" applyFont="1" applyNumberFormat="1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2" numFmtId="14" fillId="0" borderId="10" applyFont="1" applyNumberFormat="1" applyFill="0" applyBorder="1" applyAlignment="1">
      <alignment horizontal="center" vertical="center" textRotation="0" wrapText="true" shrinkToFit="false"/>
    </xf>
    <xf xfId="0" fontId="13" numFmtId="0" fillId="3" borderId="10" applyFont="1" applyNumberFormat="0" applyFill="1" applyBorder="1" applyAlignment="1">
      <alignment horizontal="center" vertical="center" textRotation="0" wrapText="false" shrinkToFit="false"/>
    </xf>
    <xf xfId="0" fontId="6" numFmtId="0" fillId="2" borderId="10" applyFont="1" applyNumberFormat="0" applyFill="1" applyBorder="1" applyAlignment="1">
      <alignment horizontal="left" vertical="center" textRotation="0" wrapText="false" shrinkToFit="false"/>
    </xf>
    <xf xfId="0" fontId="2" numFmtId="169" fillId="0" borderId="11" applyFont="1" applyNumberFormat="1" applyFill="0" applyBorder="1" applyAlignment="1">
      <alignment horizontal="center" vertical="center" textRotation="0" wrapText="false" shrinkToFit="false"/>
    </xf>
    <xf xfId="0" fontId="2" numFmtId="169" fillId="0" borderId="12" applyFont="1" applyNumberFormat="1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4" borderId="10" applyFont="1" applyNumberFormat="0" applyFill="1" applyBorder="1" applyAlignment="1">
      <alignment horizontal="center" vertical="bottom" textRotation="0" wrapText="false" shrinkToFit="false"/>
    </xf>
    <xf xfId="0" fontId="5" numFmtId="0" fillId="3" borderId="11" applyFont="1" applyNumberFormat="0" applyFill="1" applyBorder="1" applyAlignment="1">
      <alignment horizontal="left" vertical="bottom" textRotation="0" wrapText="false" shrinkToFit="false"/>
    </xf>
    <xf xfId="0" fontId="5" numFmtId="0" fillId="3" borderId="12" applyFont="1" applyNumberFormat="0" applyFill="1" applyBorder="1" applyAlignment="1">
      <alignment horizontal="left" vertical="bottom" textRotation="0" wrapText="false" shrinkToFit="false"/>
    </xf>
    <xf xfId="0" fontId="4" numFmtId="0" fillId="3" borderId="10" applyFont="1" applyNumberFormat="0" applyFill="1" applyBorder="1" applyAlignment="1">
      <alignment horizontal="center" vertical="bottom" textRotation="0" wrapText="false" shrinkToFit="false"/>
    </xf>
    <xf xfId="0" fontId="5" numFmtId="0" fillId="3" borderId="10" applyFont="1" applyNumberFormat="0" applyFill="1" applyBorder="1" applyAlignment="1">
      <alignment horizontal="left" vertical="bottom" textRotation="0" wrapText="false" shrinkToFit="false"/>
    </xf>
    <xf xfId="0" fontId="5" numFmtId="0" fillId="3" borderId="11" applyFont="1" applyNumberFormat="0" applyFill="1" applyBorder="1" applyAlignment="1">
      <alignment vertical="center" textRotation="0" wrapText="false" shrinkToFit="false"/>
    </xf>
    <xf xfId="0" fontId="5" numFmtId="0" fillId="3" borderId="38" applyFont="1" applyNumberFormat="0" applyFill="1" applyBorder="1" applyAlignment="1">
      <alignment vertical="center" textRotation="0" wrapText="false" shrinkToFit="false"/>
    </xf>
    <xf xfId="0" fontId="5" numFmtId="0" fillId="3" borderId="12" applyFont="1" applyNumberFormat="0" applyFill="1" applyBorder="1" applyAlignment="1">
      <alignment vertical="center" textRotation="0" wrapText="false" shrinkToFit="false"/>
    </xf>
    <xf xfId="0" fontId="5" numFmtId="0" fillId="3" borderId="16" applyFont="1" applyNumberFormat="0" applyFill="1" applyBorder="1" applyAlignment="1">
      <alignment vertical="center" textRotation="0" wrapText="false" shrinkToFit="false"/>
    </xf>
    <xf xfId="0" fontId="5" numFmtId="0" fillId="3" borderId="37" applyFont="1" applyNumberFormat="0" applyFill="1" applyBorder="1" applyAlignment="1">
      <alignment vertical="center" textRotation="0" wrapText="false" shrinkToFit="false"/>
    </xf>
    <xf xfId="0" fontId="5" numFmtId="0" fillId="3" borderId="35" applyFont="1" applyNumberFormat="0" applyFill="1" applyBorder="1" applyAlignment="1">
      <alignment vertical="center" textRotation="0" wrapText="false" shrinkToFit="false"/>
    </xf>
    <xf xfId="0" fontId="4" numFmtId="164" fillId="3" borderId="10" applyFont="1" applyNumberFormat="1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left" vertical="center" textRotation="0" wrapText="false" shrinkToFit="false"/>
    </xf>
    <xf xfId="0" fontId="5" numFmtId="0" fillId="3" borderId="12" applyFont="1" applyNumberFormat="0" applyFill="1" applyBorder="1" applyAlignment="1">
      <alignment horizontal="left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true" shrinkToFit="false"/>
    </xf>
    <xf xfId="0" fontId="5" numFmtId="0" fillId="3" borderId="10" applyFont="1" applyNumberFormat="0" applyFill="1" applyBorder="1" applyAlignment="1">
      <alignment horizontal="left" vertical="center" textRotation="0" wrapText="false" shrinkToFit="false"/>
    </xf>
    <xf xfId="0" fontId="2" numFmtId="14" fillId="0" borderId="10" applyFont="1" applyNumberFormat="1" applyFill="0" applyBorder="1" applyAlignment="1">
      <alignment horizontal="center" vertical="center" textRotation="0" wrapText="false" shrinkToFit="false"/>
    </xf>
    <xf xfId="0" fontId="2" numFmtId="3" fillId="0" borderId="10" applyFont="1" applyNumberFormat="1" applyFill="0" applyBorder="1" applyAlignment="1">
      <alignment horizontal="center" vertical="center" textRotation="0" wrapText="false" shrinkToFit="false"/>
    </xf>
    <xf xfId="0" fontId="17" numFmtId="170" fillId="0" borderId="11" applyFont="1" applyNumberFormat="1" applyFill="0" applyBorder="1" applyAlignment="1">
      <alignment horizontal="center" vertical="center" textRotation="0" wrapText="false" shrinkToFit="false"/>
    </xf>
    <xf xfId="0" fontId="17" numFmtId="170" fillId="0" borderId="38" applyFont="1" applyNumberFormat="1" applyFill="0" applyBorder="1" applyAlignment="1">
      <alignment horizontal="center" vertical="center" textRotation="0" wrapText="false" shrinkToFit="false"/>
    </xf>
    <xf xfId="0" fontId="17" numFmtId="170" fillId="0" borderId="12" applyFont="1" applyNumberFormat="1" applyFill="0" applyBorder="1" applyAlignment="1">
      <alignment horizontal="center" vertical="center" textRotation="0" wrapText="false" shrinkToFit="false"/>
    </xf>
    <xf xfId="0" fontId="2" numFmtId="14" fillId="0" borderId="11" applyFont="1" applyNumberFormat="1" applyFill="0" applyBorder="1" applyAlignment="1">
      <alignment horizontal="center" vertical="center" textRotation="0" wrapText="false" shrinkToFit="false"/>
    </xf>
    <xf xfId="0" fontId="2" numFmtId="14" fillId="0" borderId="38" applyFont="1" applyNumberFormat="1" applyFill="0" applyBorder="1" applyAlignment="1">
      <alignment horizontal="center" vertical="center" textRotation="0" wrapText="false" shrinkToFit="false"/>
    </xf>
    <xf xfId="0" fontId="2" numFmtId="14" fillId="0" borderId="12" applyFont="1" applyNumberFormat="1" applyFill="0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2" numFmtId="0" fillId="0" borderId="10" applyFont="1" applyNumberFormat="0" applyFill="0" applyBorder="1" applyAlignment="1">
      <alignment horizontal="center" vertical="center" textRotation="0" wrapText="true" shrinkToFit="false"/>
    </xf>
    <xf xfId="0" fontId="5" numFmtId="0" fillId="3" borderId="11" applyFont="1" applyNumberFormat="0" applyFill="1" applyBorder="1" applyAlignment="1">
      <alignment horizontal="center" vertical="center" textRotation="0" wrapText="true" shrinkToFit="false"/>
    </xf>
    <xf xfId="0" fontId="5" numFmtId="0" fillId="3" borderId="12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true" shrinkToFit="false"/>
    </xf>
    <xf xfId="0" fontId="2" numFmtId="0" fillId="0" borderId="12" applyFont="1" applyNumberFormat="0" applyFill="0" applyBorder="1" applyAlignment="1">
      <alignment horizontal="center" vertical="center" textRotation="0" wrapText="true" shrinkToFit="false"/>
    </xf>
    <xf xfId="0" fontId="2" numFmtId="164" fillId="0" borderId="10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64bf317929233f4c9d2305393de700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a724d1e63e9f63015da5b2b1447a46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38100</xdr:rowOff>
    </xdr:from>
    <xdr:to>
      <xdr:col>4</xdr:col>
      <xdr:colOff>600075</xdr:colOff>
      <xdr:row>5</xdr:row>
      <xdr:rowOff>161925</xdr:rowOff>
    </xdr:to>
    <xdr:pic>
      <xdr:nvPicPr>
        <xdr:cNvPr id="1" name="Imagem 2" descr=""/>
        <xdr:cNvPicPr>
          <a:picLocks noChangeAspect="1"/>
        </xdr:cNvPicPr>
      </xdr:nvPicPr>
      <xdr:blipFill>
        <a:blip xmlns:r="http://schemas.openxmlformats.org/officeDocument/2006/relationships" r:embed="rId1"/>
        <a:srcRect r="1106"/>
        <a:stretch/>
      </xdr:blipFill>
      <xdr:spPr>
        <a:xfrm rot="0">
          <a:ext cx="2143125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1</xdr:row>
      <xdr:rowOff>123825</xdr:rowOff>
    </xdr:from>
    <xdr:to>
      <xdr:col>3</xdr:col>
      <xdr:colOff>847725</xdr:colOff>
      <xdr:row>1</xdr:row>
      <xdr:rowOff>866775</xdr:rowOff>
    </xdr:to>
    <xdr:pic>
      <xdr:nvPicPr>
        <xdr:cNvPr id="1" name="Imagem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914525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17"/>
  <sheetViews>
    <sheetView tabSelected="0" workbookViewId="0" zoomScale="106" zoomScaleNormal="145" showGridLines="true" showRowColHeaders="1">
      <selection activeCell="E36" sqref="E36"/>
    </sheetView>
  </sheetViews>
  <sheetFormatPr defaultRowHeight="14.4" outlineLevelRow="0" outlineLevelCol="0"/>
  <cols>
    <col min="1" max="1" width="3.7109375" customWidth="true" style="0"/>
    <col min="2" max="2" width="4.140625" customWidth="true" style="0"/>
    <col min="3" max="3" width="9.140625" customWidth="true" style="0"/>
    <col min="4" max="4" width="10.5703125" customWidth="true" style="0"/>
    <col min="5" max="5" width="18.140625" customWidth="true" style="0"/>
    <col min="6" max="6" width="11.42578125" customWidth="true" style="0"/>
    <col min="7" max="7" width="8" customWidth="true" style="0"/>
    <col min="8" max="8" width="11.140625" customWidth="true" style="0"/>
    <col min="9" max="9" width="11.42578125" customWidth="true" style="0"/>
    <col min="10" max="10" width="8.7109375" customWidth="true" style="0"/>
    <col min="14" max="14" width="13.28515625" customWidth="true" style="0"/>
  </cols>
  <sheetData>
    <row r="1" spans="1:14" customHeight="1" ht="15.75">
      <c r="B1" s="3"/>
      <c r="C1" s="3"/>
      <c r="D1" s="3"/>
      <c r="E1" s="3"/>
      <c r="F1" s="3"/>
      <c r="G1" s="3"/>
      <c r="H1" s="3"/>
      <c r="I1" s="3"/>
      <c r="J1" s="3"/>
      <c r="K1" s="3"/>
    </row>
    <row r="2" spans="1:14" customHeight="1" ht="15.75">
      <c r="B2" s="57"/>
      <c r="C2" s="58"/>
      <c r="D2" s="58"/>
      <c r="E2" s="59"/>
      <c r="F2" s="81" t="s">
        <v>0</v>
      </c>
      <c r="G2" s="68"/>
      <c r="H2" s="69"/>
      <c r="I2" s="69"/>
      <c r="J2" s="69"/>
      <c r="K2" s="69"/>
      <c r="L2" s="4"/>
    </row>
    <row r="3" spans="1:14" customHeight="1" ht="15.75">
      <c r="B3" s="60"/>
      <c r="C3" s="61"/>
      <c r="D3" s="61"/>
      <c r="E3" s="62"/>
      <c r="F3" s="82"/>
      <c r="G3" s="70"/>
      <c r="H3" s="71"/>
      <c r="I3" s="71"/>
      <c r="J3" s="71"/>
      <c r="K3" s="71"/>
      <c r="L3" s="4"/>
    </row>
    <row r="4" spans="1:14" customHeight="1" ht="15.75">
      <c r="B4" s="60"/>
      <c r="C4" s="61"/>
      <c r="D4" s="61"/>
      <c r="E4" s="62"/>
      <c r="F4" s="83" t="s">
        <v>1</v>
      </c>
      <c r="G4" s="68">
        <f>Pedido!N7</f>
        <v>0</v>
      </c>
      <c r="H4" s="69"/>
      <c r="I4" s="69"/>
      <c r="J4" s="69"/>
      <c r="K4" s="69"/>
      <c r="L4" s="4"/>
    </row>
    <row r="5" spans="1:14" customHeight="1" ht="15.75">
      <c r="B5" s="60"/>
      <c r="C5" s="61"/>
      <c r="D5" s="61"/>
      <c r="E5" s="62"/>
      <c r="F5" s="84"/>
      <c r="G5" s="72"/>
      <c r="H5" s="73"/>
      <c r="I5" s="73"/>
      <c r="J5" s="73"/>
      <c r="K5" s="73"/>
      <c r="L5" s="4"/>
    </row>
    <row r="6" spans="1:14" customHeight="1" ht="15.75">
      <c r="B6" s="63"/>
      <c r="C6" s="64"/>
      <c r="D6" s="64"/>
      <c r="E6" s="65"/>
      <c r="F6" s="85"/>
      <c r="G6" s="70"/>
      <c r="H6" s="71"/>
      <c r="I6" s="71"/>
      <c r="J6" s="71"/>
      <c r="K6" s="71"/>
      <c r="L6" s="4"/>
    </row>
    <row r="7" spans="1:14" customHeight="1" ht="15">
      <c r="B7" s="53" t="s">
        <v>2</v>
      </c>
      <c r="C7" s="55"/>
      <c r="D7" s="74">
        <f>Pedido!D5</f>
        <v>0</v>
      </c>
      <c r="E7" s="75"/>
      <c r="F7" s="75"/>
      <c r="G7" s="75"/>
      <c r="H7" s="75"/>
      <c r="I7" s="75"/>
      <c r="J7" s="75"/>
      <c r="K7" s="75"/>
      <c r="L7" s="4"/>
    </row>
    <row r="8" spans="1:14" customHeight="1" ht="15">
      <c r="B8" s="50"/>
      <c r="C8" s="56"/>
      <c r="D8" s="76"/>
      <c r="E8" s="77"/>
      <c r="F8" s="77"/>
      <c r="G8" s="77"/>
      <c r="H8" s="77"/>
      <c r="I8" s="77"/>
      <c r="J8" s="77"/>
      <c r="K8" s="77"/>
      <c r="L8" s="4"/>
    </row>
    <row r="9" spans="1:14" customHeight="1" ht="15">
      <c r="B9" s="47" t="s">
        <v>3</v>
      </c>
      <c r="C9" s="48"/>
      <c r="D9" s="49"/>
      <c r="E9" s="78">
        <f>Pedido!I39</f>
        <v>0</v>
      </c>
      <c r="F9" s="79"/>
      <c r="G9" s="79"/>
      <c r="H9" s="79"/>
      <c r="I9" s="79"/>
      <c r="J9" s="79"/>
      <c r="K9" s="79"/>
      <c r="L9" s="4"/>
    </row>
    <row r="10" spans="1:14" customHeight="1" ht="15.75">
      <c r="B10" s="50"/>
      <c r="C10" s="51"/>
      <c r="D10" s="52"/>
      <c r="E10" s="78"/>
      <c r="F10" s="79"/>
      <c r="G10" s="79"/>
      <c r="H10" s="79"/>
      <c r="I10" s="79"/>
      <c r="J10" s="79"/>
      <c r="K10" s="79"/>
      <c r="L10" s="4"/>
    </row>
    <row r="11" spans="1:14" customHeight="1" ht="15.75">
      <c r="B11" s="53" t="s">
        <v>4</v>
      </c>
      <c r="C11" s="54"/>
      <c r="D11" s="55"/>
      <c r="E11" s="80"/>
      <c r="F11" s="80"/>
      <c r="G11" s="80"/>
      <c r="H11" s="80"/>
      <c r="I11" s="80"/>
      <c r="J11" s="80"/>
      <c r="K11" s="80"/>
    </row>
    <row r="12" spans="1:14" customHeight="1" ht="15.75">
      <c r="B12" s="50"/>
      <c r="C12" s="51"/>
      <c r="D12" s="56"/>
      <c r="E12" s="80"/>
      <c r="F12" s="80"/>
      <c r="G12" s="80"/>
      <c r="H12" s="80"/>
      <c r="I12" s="80"/>
      <c r="J12" s="80"/>
      <c r="K12" s="80"/>
    </row>
    <row r="13" spans="1:14" customHeight="1" ht="15.75">
      <c r="B13" s="45" t="s">
        <v>5</v>
      </c>
      <c r="C13" s="86"/>
      <c r="D13" s="86"/>
      <c r="E13" s="86"/>
      <c r="F13" s="86"/>
      <c r="G13" s="86"/>
      <c r="H13" s="86"/>
      <c r="I13" s="86"/>
      <c r="J13" s="86"/>
      <c r="K13" s="86"/>
      <c r="L13" s="4"/>
    </row>
    <row r="14" spans="1:14" customHeight="1" ht="15.75">
      <c r="A14" s="7"/>
      <c r="B14" s="11" t="s">
        <v>6</v>
      </c>
      <c r="C14" s="87" t="s">
        <v>7</v>
      </c>
      <c r="D14" s="88"/>
      <c r="E14" s="89"/>
      <c r="F14" s="45" t="s">
        <v>8</v>
      </c>
      <c r="G14" s="46"/>
      <c r="H14" s="9" t="s">
        <v>9</v>
      </c>
      <c r="I14" s="9" t="s">
        <v>10</v>
      </c>
      <c r="J14" s="2" t="s">
        <v>11</v>
      </c>
      <c r="K14" s="13" t="s">
        <v>12</v>
      </c>
      <c r="L14" s="4"/>
    </row>
    <row r="15" spans="1:14" customHeight="1" ht="15.75">
      <c r="B15" s="6">
        <f>Pedido!B27</f>
        <v>1</v>
      </c>
      <c r="C15" s="66">
        <f>Pedido!E27</f>
        <v>0</v>
      </c>
      <c r="D15" s="90"/>
      <c r="E15" s="67"/>
      <c r="F15" s="66">
        <f>Pedido!C34</f>
        <v>0</v>
      </c>
      <c r="G15" s="67"/>
      <c r="H15" s="5">
        <f>Pedido!E34</f>
        <v>0</v>
      </c>
      <c r="I15" s="10">
        <f>Pedido!G34</f>
        <v>0</v>
      </c>
      <c r="J15" s="5">
        <f>Pedido!K34</f>
        <v>0</v>
      </c>
      <c r="K15" s="5">
        <f>Pedido!N34</f>
        <v>0</v>
      </c>
    </row>
    <row r="16" spans="1:14" customHeight="1" ht="15.75">
      <c r="B16" s="6">
        <f>Pedido!B28</f>
        <v>2</v>
      </c>
      <c r="C16" s="66">
        <f>Pedido!E28</f>
        <v>0</v>
      </c>
      <c r="D16" s="90"/>
      <c r="E16" s="67"/>
      <c r="F16" s="66">
        <f>Pedido!C35</f>
        <v>0</v>
      </c>
      <c r="G16" s="67"/>
      <c r="H16" s="10">
        <f>Pedido!E35</f>
        <v>0</v>
      </c>
      <c r="I16" s="10">
        <f>Pedido!G35</f>
        <v>0</v>
      </c>
      <c r="J16" s="5">
        <f>Pedido!K35</f>
        <v>0</v>
      </c>
      <c r="K16" s="5">
        <f>Pedido!N35</f>
        <v>0</v>
      </c>
    </row>
    <row r="17" spans="1:14" customHeight="1" ht="15.75">
      <c r="B17" s="6">
        <f>Pedido!B29</f>
        <v>3</v>
      </c>
      <c r="C17" s="91">
        <f>Pedido!E29</f>
        <v>0</v>
      </c>
      <c r="D17" s="92"/>
      <c r="E17" s="93"/>
      <c r="F17" s="66">
        <f>Pedido!E36</f>
        <v>0</v>
      </c>
      <c r="G17" s="67"/>
      <c r="H17" s="10">
        <f>Pedido!E36</f>
        <v>0</v>
      </c>
      <c r="I17" s="10">
        <f>Pedido!G36</f>
        <v>0</v>
      </c>
      <c r="J17" s="5">
        <f>Pedido!K36</f>
        <v>0</v>
      </c>
      <c r="K17" s="12">
        <f>Pedido!N36</f>
        <v>0</v>
      </c>
      <c r="L17" s="4"/>
    </row>
  </sheetData>
  <mergeCells>
    <mergeCell ref="F15:G15"/>
    <mergeCell ref="F16:G16"/>
    <mergeCell ref="F17:G17"/>
    <mergeCell ref="G2:K3"/>
    <mergeCell ref="G4:K6"/>
    <mergeCell ref="D7:K8"/>
    <mergeCell ref="E9:K10"/>
    <mergeCell ref="E11:K12"/>
    <mergeCell ref="F2:F3"/>
    <mergeCell ref="F4:F6"/>
    <mergeCell ref="B13:K13"/>
    <mergeCell ref="C14:E14"/>
    <mergeCell ref="C15:E15"/>
    <mergeCell ref="C16:E16"/>
    <mergeCell ref="C17:E17"/>
    <mergeCell ref="F14:G14"/>
    <mergeCell ref="B9:D10"/>
    <mergeCell ref="B11:D12"/>
    <mergeCell ref="B7:C8"/>
    <mergeCell ref="B2:E6"/>
  </mergeCell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U58"/>
  <sheetViews>
    <sheetView tabSelected="1" workbookViewId="0" showGridLines="true" showRowColHeaders="1" topLeftCell="A37">
      <selection activeCell="H37" sqref="H37"/>
    </sheetView>
  </sheetViews>
  <sheetFormatPr defaultRowHeight="14.4" outlineLevelRow="0" outlineLevelCol="0"/>
  <cols>
    <col min="1" max="1" width="2" customWidth="true" style="0"/>
    <col min="2" max="2" width="10" customWidth="true" style="0"/>
    <col min="3" max="3" width="16.85546875" customWidth="true" style="0"/>
    <col min="4" max="4" width="21.5703125" customWidth="true" style="0"/>
    <col min="5" max="5" width="17.7109375" customWidth="true" style="0"/>
    <col min="6" max="6" width="17.28515625" customWidth="true" style="0"/>
    <col min="7" max="7" width="13.28515625" customWidth="true" style="0"/>
    <col min="8" max="8" width="9.28515625" customWidth="true" style="0"/>
    <col min="9" max="9" width="5.28515625" customWidth="true" style="0"/>
    <col min="10" max="10" width="8.28515625" customWidth="true" style="0"/>
    <col min="11" max="11" width="12.7109375" customWidth="true" style="0"/>
    <col min="12" max="12" width="7.85546875" customWidth="true" style="0"/>
    <col min="13" max="13" width="10.140625" customWidth="true" style="0"/>
    <col min="14" max="14" width="14.85546875" customWidth="true" style="0"/>
    <col min="15" max="15" width="10.85546875" customWidth="true" style="0"/>
  </cols>
  <sheetData>
    <row r="1" spans="1:21" customHeight="1" ht="21.7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21" customHeight="1" ht="75.75">
      <c r="A2" s="15"/>
      <c r="B2" s="122" t="s">
        <v>13</v>
      </c>
      <c r="C2" s="122"/>
      <c r="D2" s="122"/>
      <c r="E2" s="122"/>
      <c r="F2" s="166" t="s">
        <v>14</v>
      </c>
      <c r="G2" s="166"/>
      <c r="H2" s="166"/>
      <c r="I2" s="166"/>
      <c r="J2" s="170"/>
      <c r="K2" s="171"/>
      <c r="L2" s="171"/>
      <c r="M2" s="171"/>
      <c r="N2" s="171"/>
      <c r="O2" s="172"/>
      <c r="P2" s="15"/>
      <c r="Q2" s="15"/>
    </row>
    <row r="3" spans="1:21" customHeight="1" ht="7.5">
      <c r="A3" s="15"/>
      <c r="B3" s="15" t="s">
        <v>15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21" customHeight="1" ht="21.75">
      <c r="A4" s="15"/>
      <c r="B4" s="116" t="s">
        <v>16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</row>
    <row r="5" spans="1:21" customHeight="1" ht="21.75">
      <c r="A5" s="15"/>
      <c r="B5" s="94" t="s">
        <v>17</v>
      </c>
      <c r="C5" s="95"/>
      <c r="D5" s="98"/>
      <c r="E5" s="99"/>
      <c r="F5" s="94" t="s">
        <v>18</v>
      </c>
      <c r="G5" s="95"/>
      <c r="H5" s="102"/>
      <c r="I5" s="103"/>
      <c r="J5" s="103"/>
      <c r="K5" s="104"/>
      <c r="L5" s="108" t="s">
        <v>19</v>
      </c>
      <c r="M5" s="110"/>
      <c r="N5" s="111"/>
      <c r="O5" s="112"/>
    </row>
    <row r="6" spans="1:21" customHeight="1" ht="21.75">
      <c r="A6" s="15"/>
      <c r="B6" s="96"/>
      <c r="C6" s="97"/>
      <c r="D6" s="100"/>
      <c r="E6" s="101"/>
      <c r="F6" s="96"/>
      <c r="G6" s="97"/>
      <c r="H6" s="105"/>
      <c r="I6" s="106"/>
      <c r="J6" s="106"/>
      <c r="K6" s="107"/>
      <c r="L6" s="109"/>
      <c r="M6" s="113"/>
      <c r="N6" s="114"/>
      <c r="O6" s="115"/>
    </row>
    <row r="7" spans="1:21" customHeight="1" ht="21.75">
      <c r="A7" s="15"/>
      <c r="B7" s="167" t="s">
        <v>20</v>
      </c>
      <c r="C7" s="167"/>
      <c r="D7" s="168"/>
      <c r="E7" s="168"/>
      <c r="F7" s="164" t="s">
        <v>21</v>
      </c>
      <c r="G7" s="165"/>
      <c r="H7" s="173"/>
      <c r="I7" s="174"/>
      <c r="J7" s="174"/>
      <c r="K7" s="175"/>
      <c r="L7" s="167" t="s">
        <v>22</v>
      </c>
      <c r="M7" s="167"/>
      <c r="N7" s="169"/>
      <c r="O7" s="169"/>
    </row>
    <row r="8" spans="1:21" customHeight="1" ht="13.5">
      <c r="A8" s="15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spans="1:21" customHeight="1" ht="4.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21" customHeight="1" ht="27">
      <c r="A10" s="15"/>
      <c r="B10" s="116" t="s">
        <v>23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5"/>
      <c r="Q10" s="15"/>
    </row>
    <row r="11" spans="1:21" customHeight="1" ht="21.75">
      <c r="A11" s="15"/>
      <c r="B11" s="120" t="s">
        <v>24</v>
      </c>
      <c r="C11" s="120"/>
      <c r="D11" s="120"/>
      <c r="E11" s="120"/>
      <c r="F11" s="120" t="s">
        <v>25</v>
      </c>
      <c r="G11" s="120"/>
      <c r="H11" s="120"/>
      <c r="I11" s="120" t="s">
        <v>26</v>
      </c>
      <c r="J11" s="120"/>
      <c r="K11" s="120"/>
      <c r="L11" s="120"/>
      <c r="M11" s="120"/>
      <c r="N11" s="120"/>
      <c r="O11" s="120"/>
      <c r="P11" s="15"/>
      <c r="Q11" s="15"/>
    </row>
    <row r="12" spans="1:21" customHeight="1" ht="21.75">
      <c r="A12" s="15"/>
      <c r="B12" s="121"/>
      <c r="C12" s="147"/>
      <c r="D12" s="147"/>
      <c r="E12" s="147"/>
      <c r="F12" s="139"/>
      <c r="G12" s="139"/>
      <c r="H12" s="139"/>
      <c r="I12" s="121"/>
      <c r="J12" s="122"/>
      <c r="K12" s="122"/>
      <c r="L12" s="122"/>
      <c r="M12" s="122"/>
      <c r="N12" s="122"/>
      <c r="O12" s="122"/>
      <c r="P12" s="15"/>
      <c r="Q12" s="15"/>
    </row>
    <row r="13" spans="1:21" customHeight="1" ht="21.75">
      <c r="A13" s="15"/>
      <c r="B13" s="122"/>
      <c r="C13" s="122"/>
      <c r="D13" s="122"/>
      <c r="E13" s="122"/>
      <c r="F13" s="139"/>
      <c r="G13" s="139"/>
      <c r="H13" s="139"/>
      <c r="I13" s="122"/>
      <c r="J13" s="122"/>
      <c r="K13" s="122"/>
      <c r="L13" s="122"/>
      <c r="M13" s="122"/>
      <c r="N13" s="122"/>
      <c r="O13" s="122"/>
      <c r="P13" s="15"/>
      <c r="Q13" s="15"/>
    </row>
    <row r="14" spans="1:21" customHeight="1" ht="21.75">
      <c r="A14" s="15"/>
      <c r="B14" s="122"/>
      <c r="C14" s="122"/>
      <c r="D14" s="122"/>
      <c r="E14" s="122"/>
      <c r="F14" s="139"/>
      <c r="G14" s="139"/>
      <c r="H14" s="139"/>
      <c r="I14" s="122"/>
      <c r="J14" s="122"/>
      <c r="K14" s="122"/>
      <c r="L14" s="122"/>
      <c r="M14" s="122"/>
      <c r="N14" s="122"/>
      <c r="O14" s="122"/>
      <c r="P14" s="15"/>
      <c r="Q14" s="15"/>
    </row>
    <row r="15" spans="1:21" customHeight="1" ht="21.75">
      <c r="A15" s="15"/>
      <c r="B15" s="122"/>
      <c r="C15" s="122"/>
      <c r="D15" s="122"/>
      <c r="E15" s="122"/>
      <c r="F15" s="139"/>
      <c r="G15" s="139"/>
      <c r="H15" s="139"/>
      <c r="I15" s="122"/>
      <c r="J15" s="122"/>
      <c r="K15" s="122"/>
      <c r="L15" s="122"/>
      <c r="M15" s="122"/>
      <c r="N15" s="122"/>
      <c r="O15" s="122"/>
      <c r="P15" s="15"/>
      <c r="Q15" s="15"/>
    </row>
    <row r="16" spans="1:21" customHeight="1" ht="21.75">
      <c r="A16" s="15"/>
      <c r="B16" s="122"/>
      <c r="C16" s="122"/>
      <c r="D16" s="122"/>
      <c r="E16" s="122"/>
      <c r="F16" s="139"/>
      <c r="G16" s="139"/>
      <c r="H16" s="139"/>
      <c r="I16" s="122"/>
      <c r="J16" s="122"/>
      <c r="K16" s="122"/>
      <c r="L16" s="122"/>
      <c r="M16" s="122"/>
      <c r="N16" s="122"/>
      <c r="O16" s="122"/>
      <c r="P16" s="15"/>
      <c r="Q16" s="15"/>
    </row>
    <row r="17" spans="1:21" customHeight="1" ht="5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21" customHeight="1" ht="21.75">
      <c r="A18" s="15"/>
      <c r="B18" s="151" t="s">
        <v>27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6"/>
      <c r="Q18" s="15"/>
    </row>
    <row r="19" spans="1:21" customHeight="1" ht="29.25" s="8" customFormat="1">
      <c r="A19" s="17"/>
      <c r="B19" s="149" t="s">
        <v>7</v>
      </c>
      <c r="C19" s="150"/>
      <c r="D19" s="148"/>
      <c r="E19" s="148"/>
      <c r="F19" s="148"/>
      <c r="G19" s="148"/>
      <c r="H19" s="148"/>
      <c r="I19" s="148"/>
      <c r="J19" s="148"/>
      <c r="K19" s="152" t="s">
        <v>28</v>
      </c>
      <c r="L19" s="152"/>
      <c r="M19" s="123"/>
      <c r="N19" s="124"/>
      <c r="O19" s="125"/>
      <c r="P19" s="18"/>
      <c r="Q19" s="17"/>
    </row>
    <row r="20" spans="1:21" customHeight="1" ht="24.75">
      <c r="A20" s="15"/>
      <c r="B20" s="149" t="s">
        <v>29</v>
      </c>
      <c r="C20" s="150"/>
      <c r="D20" s="129"/>
      <c r="E20" s="129"/>
      <c r="F20" s="129"/>
      <c r="G20" s="129"/>
      <c r="H20" s="129"/>
      <c r="I20" s="129"/>
      <c r="J20" s="129"/>
      <c r="K20" s="152" t="s">
        <v>30</v>
      </c>
      <c r="L20" s="152"/>
      <c r="M20" s="126" t="s">
        <v>31</v>
      </c>
      <c r="N20" s="127"/>
      <c r="O20" s="128"/>
      <c r="P20" s="16"/>
      <c r="Q20" s="15"/>
    </row>
    <row r="21" spans="1:21" customHeight="1" ht="26.25">
      <c r="A21" s="15"/>
      <c r="B21" s="149" t="s">
        <v>32</v>
      </c>
      <c r="C21" s="150"/>
      <c r="D21" s="129"/>
      <c r="E21" s="129"/>
      <c r="F21" s="129"/>
      <c r="G21" s="129"/>
      <c r="H21" s="129"/>
      <c r="I21" s="129"/>
      <c r="J21" s="129"/>
      <c r="K21" s="122"/>
      <c r="L21" s="122"/>
      <c r="M21" s="130"/>
      <c r="N21" s="131"/>
      <c r="O21" s="132"/>
      <c r="P21" s="16"/>
      <c r="Q21" s="15"/>
    </row>
    <row r="22" spans="1:21" customHeight="1" ht="23.25">
      <c r="A22" s="15"/>
      <c r="B22" s="149" t="s">
        <v>33</v>
      </c>
      <c r="C22" s="150"/>
      <c r="D22" s="129"/>
      <c r="E22" s="129"/>
      <c r="F22" s="129"/>
      <c r="G22" s="129"/>
      <c r="H22" s="129"/>
      <c r="I22" s="129"/>
      <c r="J22" s="129"/>
      <c r="K22" s="122"/>
      <c r="L22" s="122"/>
      <c r="M22" s="133"/>
      <c r="N22" s="134"/>
      <c r="O22" s="135"/>
      <c r="P22" s="15"/>
      <c r="Q22" s="15"/>
    </row>
    <row r="23" spans="1:21" customHeight="1" ht="21.75">
      <c r="A23" s="15"/>
      <c r="B23" s="149" t="s">
        <v>34</v>
      </c>
      <c r="C23" s="150"/>
      <c r="D23" s="122"/>
      <c r="E23" s="122"/>
      <c r="F23" s="122"/>
      <c r="G23" s="122"/>
      <c r="H23" s="122"/>
      <c r="I23" s="122"/>
      <c r="J23" s="122"/>
      <c r="K23" s="122"/>
      <c r="L23" s="122"/>
      <c r="M23" s="136"/>
      <c r="N23" s="137"/>
      <c r="O23" s="138"/>
      <c r="P23" s="15"/>
      <c r="Q23" s="15"/>
    </row>
    <row r="24" spans="1:21" customHeight="1" ht="21.7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6"/>
      <c r="M24" s="16"/>
      <c r="N24" s="16"/>
      <c r="O24" s="16"/>
      <c r="P24" s="15"/>
      <c r="Q24" s="15"/>
    </row>
    <row r="25" spans="1:21" customHeight="1" ht="21.75" s="8" customFormat="1">
      <c r="A25" s="17"/>
      <c r="B25" s="120" t="s">
        <v>35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7"/>
      <c r="Q25" s="17"/>
    </row>
    <row r="26" spans="1:21" customHeight="1" ht="42.75">
      <c r="A26" s="15"/>
      <c r="B26" s="25" t="s">
        <v>6</v>
      </c>
      <c r="C26" s="26" t="s">
        <v>36</v>
      </c>
      <c r="D26" s="176" t="s">
        <v>37</v>
      </c>
      <c r="E26" s="176"/>
      <c r="F26" s="179" t="s">
        <v>38</v>
      </c>
      <c r="G26" s="180"/>
      <c r="H26" s="179" t="s">
        <v>39</v>
      </c>
      <c r="I26" s="180"/>
      <c r="J26" s="29" t="s">
        <v>40</v>
      </c>
      <c r="K26" s="28" t="s">
        <v>41</v>
      </c>
      <c r="L26" s="27" t="s">
        <v>42</v>
      </c>
      <c r="M26" s="27" t="s">
        <v>43</v>
      </c>
      <c r="N26" s="176" t="s">
        <v>44</v>
      </c>
      <c r="O26" s="176"/>
      <c r="P26" s="15"/>
      <c r="Q26" s="16"/>
      <c r="R26" s="1"/>
      <c r="S26" s="1"/>
      <c r="T26" s="1"/>
      <c r="U26" s="1"/>
    </row>
    <row r="27" spans="1:21" customHeight="1" ht="46.5">
      <c r="A27" s="15"/>
      <c r="B27" s="40">
        <v>1</v>
      </c>
      <c r="C27" s="32"/>
      <c r="D27" s="177"/>
      <c r="E27" s="177"/>
      <c r="F27" s="162"/>
      <c r="G27" s="163"/>
      <c r="H27" s="162"/>
      <c r="I27" s="163"/>
      <c r="J27" s="33"/>
      <c r="K27" s="34"/>
      <c r="L27" s="35"/>
      <c r="M27" s="36"/>
      <c r="N27" s="183">
        <f>M27*L27</f>
        <v>0</v>
      </c>
      <c r="O27" s="183"/>
      <c r="P27" s="15"/>
      <c r="Q27" s="16"/>
      <c r="R27" s="1"/>
      <c r="S27" s="1"/>
      <c r="T27" s="1"/>
      <c r="U27" s="1"/>
    </row>
    <row r="28" spans="1:21" customHeight="1" ht="64.5">
      <c r="A28" s="15"/>
      <c r="B28" s="40">
        <v>2</v>
      </c>
      <c r="C28" s="32"/>
      <c r="D28" s="178"/>
      <c r="E28" s="178"/>
      <c r="F28" s="181"/>
      <c r="G28" s="182"/>
      <c r="H28" s="162"/>
      <c r="I28" s="163"/>
      <c r="J28" s="36"/>
      <c r="K28" s="37"/>
      <c r="L28" s="38"/>
      <c r="M28" s="38"/>
      <c r="N28" s="183">
        <f>M28*L28</f>
        <v>0</v>
      </c>
      <c r="O28" s="183"/>
      <c r="P28" s="15"/>
      <c r="Q28" s="16"/>
      <c r="R28" s="1"/>
      <c r="S28" s="1"/>
      <c r="T28" s="1"/>
      <c r="U28" s="1"/>
    </row>
    <row r="29" spans="1:21" customHeight="1" ht="45.75">
      <c r="A29" s="15"/>
      <c r="B29" s="40">
        <v>3</v>
      </c>
      <c r="C29" s="39"/>
      <c r="D29" s="119"/>
      <c r="E29" s="119"/>
      <c r="F29" s="162"/>
      <c r="G29" s="163"/>
      <c r="H29" s="162"/>
      <c r="I29" s="163"/>
      <c r="J29" s="36"/>
      <c r="K29" s="37"/>
      <c r="L29" s="38"/>
      <c r="M29" s="38"/>
      <c r="N29" s="183">
        <f>M29*L29</f>
        <v>0</v>
      </c>
      <c r="O29" s="183"/>
      <c r="P29" s="15"/>
      <c r="Q29" s="16"/>
      <c r="R29" s="1"/>
      <c r="S29" s="1"/>
      <c r="T29" s="1"/>
      <c r="U29" s="1"/>
    </row>
    <row r="30" spans="1:21" customHeight="1" ht="21.75">
      <c r="A30" s="15"/>
      <c r="B30" s="161" t="s">
        <v>45</v>
      </c>
      <c r="C30" s="161"/>
      <c r="D30" s="161"/>
      <c r="E30" s="161"/>
      <c r="F30" s="161"/>
      <c r="G30" s="161"/>
      <c r="H30" s="161"/>
      <c r="I30" s="161"/>
      <c r="J30" s="42"/>
      <c r="K30" s="41"/>
      <c r="L30" s="41"/>
      <c r="M30" s="41"/>
      <c r="N30" s="159">
        <f>SUM(N27:O29)</f>
        <v>0</v>
      </c>
      <c r="O30" s="160"/>
      <c r="P30" s="15"/>
      <c r="Q30" s="16"/>
      <c r="R30" s="1" t="s">
        <v>46</v>
      </c>
      <c r="S30" s="1"/>
      <c r="T30" s="1" t="s">
        <v>47</v>
      </c>
      <c r="U30" s="1"/>
    </row>
    <row r="31" spans="1:21" customHeight="1" ht="21.75">
      <c r="A31" s="15"/>
      <c r="B31" s="19"/>
      <c r="C31" s="19"/>
      <c r="D31" s="19"/>
      <c r="E31" s="19"/>
      <c r="F31" s="19"/>
      <c r="G31" s="19"/>
      <c r="H31" s="19"/>
      <c r="I31" s="19"/>
      <c r="J31" s="20"/>
      <c r="K31" s="21"/>
      <c r="L31" s="16"/>
      <c r="M31" s="16"/>
      <c r="N31" s="16"/>
      <c r="O31" s="16"/>
      <c r="P31" s="15"/>
      <c r="Q31" s="15"/>
    </row>
    <row r="32" spans="1:21" customHeight="1" ht="21.75">
      <c r="A32" s="15"/>
      <c r="B32" s="118" t="s">
        <v>48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5"/>
      <c r="Q32" s="15"/>
    </row>
    <row r="33" spans="1:21" customHeight="1" ht="21.75">
      <c r="A33" s="15"/>
      <c r="B33" s="43" t="s">
        <v>6</v>
      </c>
      <c r="C33" s="144" t="s">
        <v>8</v>
      </c>
      <c r="D33" s="144"/>
      <c r="E33" s="144" t="s">
        <v>9</v>
      </c>
      <c r="F33" s="144"/>
      <c r="G33" s="118" t="s">
        <v>49</v>
      </c>
      <c r="H33" s="118"/>
      <c r="I33" s="118"/>
      <c r="J33" s="118"/>
      <c r="K33" s="118" t="s">
        <v>50</v>
      </c>
      <c r="L33" s="118"/>
      <c r="M33" s="118" t="s">
        <v>12</v>
      </c>
      <c r="N33" s="118"/>
      <c r="O33" s="118"/>
      <c r="P33" s="15"/>
      <c r="Q33" s="15"/>
    </row>
    <row r="34" spans="1:21" customHeight="1" ht="21.75">
      <c r="A34" s="15"/>
      <c r="B34" s="40">
        <v>1</v>
      </c>
      <c r="C34" s="145"/>
      <c r="D34" s="146"/>
      <c r="E34" s="145"/>
      <c r="F34" s="146"/>
      <c r="G34" s="119"/>
      <c r="H34" s="119"/>
      <c r="I34" s="119"/>
      <c r="J34" s="119"/>
      <c r="K34" s="119"/>
      <c r="L34" s="119"/>
      <c r="M34" s="117"/>
      <c r="N34" s="117"/>
      <c r="O34" s="117"/>
      <c r="P34" s="15"/>
      <c r="Q34" s="15"/>
    </row>
    <row r="35" spans="1:21" customHeight="1" ht="21.75">
      <c r="A35" s="15"/>
      <c r="B35" s="40">
        <v>2</v>
      </c>
      <c r="C35" s="145"/>
      <c r="D35" s="146"/>
      <c r="E35" s="145"/>
      <c r="F35" s="146"/>
      <c r="G35" s="119"/>
      <c r="H35" s="119"/>
      <c r="I35" s="119"/>
      <c r="J35" s="119"/>
      <c r="K35" s="119"/>
      <c r="L35" s="119"/>
      <c r="M35" s="117"/>
      <c r="N35" s="117"/>
      <c r="O35" s="117"/>
      <c r="P35" s="15"/>
      <c r="Q35" s="15"/>
    </row>
    <row r="36" spans="1:21" customHeight="1" ht="26.25">
      <c r="A36" s="15"/>
      <c r="B36" s="40">
        <v>3</v>
      </c>
      <c r="C36" s="145"/>
      <c r="D36" s="146"/>
      <c r="E36" s="145"/>
      <c r="F36" s="146"/>
      <c r="G36" s="119"/>
      <c r="H36" s="119"/>
      <c r="I36" s="119"/>
      <c r="J36" s="119"/>
      <c r="K36" s="119"/>
      <c r="L36" s="119"/>
      <c r="M36" s="117"/>
      <c r="N36" s="117"/>
      <c r="O36" s="117"/>
      <c r="P36" s="15"/>
      <c r="Q36" s="15"/>
    </row>
    <row r="37" spans="1:21" customHeight="1" ht="21.7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6"/>
      <c r="M37" s="18"/>
      <c r="N37" s="16"/>
      <c r="O37" s="16"/>
      <c r="P37" s="15"/>
      <c r="Q37" s="15"/>
    </row>
    <row r="38" spans="1:21" customHeight="1" ht="21.75">
      <c r="A38" s="15"/>
      <c r="B38" s="141" t="s">
        <v>51</v>
      </c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5"/>
      <c r="Q38" s="15"/>
    </row>
    <row r="39" spans="1:21" customHeight="1" ht="21.75">
      <c r="A39" s="15"/>
      <c r="B39" s="30" t="s">
        <v>52</v>
      </c>
      <c r="C39" s="162"/>
      <c r="D39" s="163"/>
      <c r="E39" s="30" t="s">
        <v>53</v>
      </c>
      <c r="F39" s="44"/>
      <c r="G39" s="164" t="s">
        <v>54</v>
      </c>
      <c r="H39" s="165"/>
      <c r="I39" s="119"/>
      <c r="J39" s="119"/>
      <c r="K39" s="119"/>
      <c r="L39" s="119"/>
      <c r="M39" s="119"/>
      <c r="N39" s="119"/>
      <c r="O39" s="119"/>
      <c r="P39" s="15"/>
      <c r="Q39" s="15"/>
    </row>
    <row r="40" spans="1:21" customHeight="1" ht="21.75">
      <c r="A40" s="15"/>
      <c r="B40" s="141" t="s">
        <v>55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5"/>
      <c r="Q40" s="15"/>
    </row>
    <row r="41" spans="1:21" customHeight="1" ht="21.75">
      <c r="A41" s="15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5"/>
      <c r="Q41" s="15"/>
    </row>
    <row r="42" spans="1:21" customHeight="1" ht="21.75">
      <c r="A42" s="15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5"/>
      <c r="Q42" s="15"/>
    </row>
    <row r="43" spans="1:21" customHeight="1" ht="21.75">
      <c r="A43" s="15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5"/>
      <c r="Q43" s="15"/>
    </row>
    <row r="44" spans="1:21" customHeight="1" ht="21.7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21" customHeight="1" ht="21.75">
      <c r="A45" s="15"/>
      <c r="B45" s="143" t="s">
        <v>56</v>
      </c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5"/>
      <c r="Q45" s="15"/>
    </row>
    <row r="46" spans="1:21" customHeight="1" ht="21.75">
      <c r="A46" s="15"/>
      <c r="B46" s="156" t="s">
        <v>57</v>
      </c>
      <c r="C46" s="157"/>
      <c r="D46" s="158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5"/>
      <c r="Q46" s="15"/>
    </row>
    <row r="47" spans="1:21" customHeight="1" ht="21.75">
      <c r="A47" s="15"/>
      <c r="B47" s="153" t="s">
        <v>58</v>
      </c>
      <c r="C47" s="154"/>
      <c r="D47" s="155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5"/>
      <c r="Q47" s="15"/>
    </row>
    <row r="48" spans="1:21" customHeight="1" ht="21.75">
      <c r="A48" s="15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15"/>
      <c r="M48" s="15"/>
      <c r="N48" s="15"/>
      <c r="O48" s="15"/>
      <c r="P48" s="15"/>
      <c r="Q48" s="15"/>
    </row>
    <row r="49" spans="1:21" customHeight="1" ht="21.75">
      <c r="A49" s="15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15"/>
      <c r="M49" s="15"/>
      <c r="N49" s="15"/>
      <c r="O49" s="15"/>
      <c r="P49" s="15"/>
      <c r="Q49" s="15"/>
    </row>
    <row r="50" spans="1:21" customHeight="1" ht="22.5">
      <c r="A50" s="15"/>
      <c r="B50" s="22"/>
      <c r="C50" s="22"/>
      <c r="D50" s="15"/>
      <c r="E50" s="23"/>
      <c r="F50" s="23"/>
      <c r="G50" s="23"/>
      <c r="H50" s="24"/>
      <c r="I50" s="24"/>
      <c r="J50" s="24"/>
      <c r="K50" s="22"/>
      <c r="L50" s="15"/>
      <c r="M50" s="15"/>
      <c r="N50" s="15"/>
      <c r="O50" s="15"/>
      <c r="P50" s="15"/>
      <c r="Q50" s="15"/>
    </row>
    <row r="51" spans="1:21" customHeight="1" ht="21.75">
      <c r="A51" s="15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15"/>
      <c r="M51" s="15"/>
      <c r="N51" s="15"/>
      <c r="O51" s="15"/>
      <c r="P51" s="15"/>
      <c r="Q51" s="15"/>
    </row>
    <row r="52" spans="1:21" customHeight="1" ht="21.75">
      <c r="A52" s="15"/>
      <c r="B52" s="22"/>
      <c r="C52" s="22"/>
      <c r="D52" s="15"/>
      <c r="E52" s="140" t="s">
        <v>59</v>
      </c>
      <c r="F52" s="140"/>
      <c r="G52" s="140"/>
      <c r="H52" s="140"/>
      <c r="I52" s="140"/>
      <c r="J52" s="140"/>
      <c r="K52" s="22"/>
      <c r="L52" s="15"/>
      <c r="M52" s="15"/>
      <c r="N52" s="15"/>
      <c r="O52" s="15"/>
      <c r="P52" s="15"/>
      <c r="Q52" s="15"/>
    </row>
    <row r="53" spans="1:21" customHeight="1" ht="21.75">
      <c r="A53" s="15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15"/>
      <c r="M53" s="15"/>
      <c r="N53" s="15"/>
      <c r="O53" s="15"/>
      <c r="P53" s="15"/>
      <c r="Q53" s="15"/>
    </row>
    <row r="54" spans="1:21" customHeight="1" ht="21.75">
      <c r="A54" s="15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15"/>
      <c r="M54" s="15"/>
      <c r="N54" s="15"/>
      <c r="O54" s="15"/>
      <c r="P54" s="15"/>
      <c r="Q54" s="15"/>
    </row>
    <row r="55" spans="1:21"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21"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21"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21">
      <c r="B58" s="14"/>
      <c r="C58" s="14"/>
      <c r="D58" s="14"/>
      <c r="E58" s="14"/>
      <c r="F58" s="14"/>
      <c r="G58" s="14"/>
      <c r="H58" s="14"/>
      <c r="I58" s="14"/>
      <c r="J58" s="14"/>
      <c r="K58" s="14"/>
    </row>
  </sheetData>
  <mergeCells>
    <mergeCell ref="B25:O25"/>
    <mergeCell ref="D26:E26"/>
    <mergeCell ref="D27:E27"/>
    <mergeCell ref="D28:E28"/>
    <mergeCell ref="D29:E29"/>
    <mergeCell ref="F26:G26"/>
    <mergeCell ref="F27:G27"/>
    <mergeCell ref="H26:I26"/>
    <mergeCell ref="H27:I27"/>
    <mergeCell ref="H28:I28"/>
    <mergeCell ref="F28:G28"/>
    <mergeCell ref="F29:G29"/>
    <mergeCell ref="H29:I29"/>
    <mergeCell ref="N26:O26"/>
    <mergeCell ref="N27:O27"/>
    <mergeCell ref="N28:O28"/>
    <mergeCell ref="N29:O29"/>
    <mergeCell ref="B2:E2"/>
    <mergeCell ref="F2:I2"/>
    <mergeCell ref="B7:C7"/>
    <mergeCell ref="D7:E7"/>
    <mergeCell ref="L7:M7"/>
    <mergeCell ref="N7:O7"/>
    <mergeCell ref="J2:O2"/>
    <mergeCell ref="H7:K7"/>
    <mergeCell ref="F7:G7"/>
    <mergeCell ref="M34:O34"/>
    <mergeCell ref="M35:O35"/>
    <mergeCell ref="C39:D39"/>
    <mergeCell ref="G39:H39"/>
    <mergeCell ref="B32:O32"/>
    <mergeCell ref="I39:O39"/>
    <mergeCell ref="B38:O38"/>
    <mergeCell ref="K33:L33"/>
    <mergeCell ref="K34:L34"/>
    <mergeCell ref="K35:L35"/>
    <mergeCell ref="B11:E11"/>
    <mergeCell ref="B14:E14"/>
    <mergeCell ref="B15:E15"/>
    <mergeCell ref="K22:L22"/>
    <mergeCell ref="K23:L23"/>
    <mergeCell ref="D19:J19"/>
    <mergeCell ref="D20:J20"/>
    <mergeCell ref="D21:J21"/>
    <mergeCell ref="B23:C23"/>
    <mergeCell ref="B19:C19"/>
    <mergeCell ref="B20:C20"/>
    <mergeCell ref="B21:C21"/>
    <mergeCell ref="B22:C22"/>
    <mergeCell ref="F14:H14"/>
    <mergeCell ref="F15:H15"/>
    <mergeCell ref="F16:H16"/>
    <mergeCell ref="I15:O15"/>
    <mergeCell ref="I16:O16"/>
    <mergeCell ref="B18:O18"/>
    <mergeCell ref="K19:L19"/>
    <mergeCell ref="K20:L20"/>
    <mergeCell ref="K21:L21"/>
    <mergeCell ref="F12:H12"/>
    <mergeCell ref="F13:H13"/>
    <mergeCell ref="E52:J52"/>
    <mergeCell ref="B40:O40"/>
    <mergeCell ref="B41:O43"/>
    <mergeCell ref="B45:O45"/>
    <mergeCell ref="E46:O46"/>
    <mergeCell ref="E47:O47"/>
    <mergeCell ref="E33:F33"/>
    <mergeCell ref="C34:D34"/>
    <mergeCell ref="C35:D35"/>
    <mergeCell ref="C36:D36"/>
    <mergeCell ref="E34:F34"/>
    <mergeCell ref="E35:F35"/>
    <mergeCell ref="E36:F36"/>
    <mergeCell ref="B12:E12"/>
    <mergeCell ref="B13:E13"/>
    <mergeCell ref="B47:D47"/>
    <mergeCell ref="B46:D46"/>
    <mergeCell ref="C33:D33"/>
    <mergeCell ref="N30:O30"/>
    <mergeCell ref="B30:I30"/>
    <mergeCell ref="K36:L36"/>
    <mergeCell ref="M33:O33"/>
    <mergeCell ref="B5:C6"/>
    <mergeCell ref="D5:E6"/>
    <mergeCell ref="F5:G6"/>
    <mergeCell ref="H5:K6"/>
    <mergeCell ref="L5:L6"/>
    <mergeCell ref="M5:O6"/>
    <mergeCell ref="B10:O10"/>
    <mergeCell ref="B4:O4"/>
    <mergeCell ref="M36:O36"/>
    <mergeCell ref="G33:J33"/>
    <mergeCell ref="G34:J34"/>
    <mergeCell ref="G35:J35"/>
    <mergeCell ref="G36:J36"/>
    <mergeCell ref="F11:H11"/>
    <mergeCell ref="I11:O11"/>
    <mergeCell ref="I12:O12"/>
    <mergeCell ref="I13:O13"/>
    <mergeCell ref="I14:O14"/>
    <mergeCell ref="M19:O19"/>
    <mergeCell ref="M20:O20"/>
    <mergeCell ref="D22:J22"/>
    <mergeCell ref="D23:J23"/>
    <mergeCell ref="B16:E16"/>
    <mergeCell ref="M21:O23"/>
  </mergeCells>
  <dataValidations count="4">
    <dataValidation type="list" operator="between" allowBlank="1" showDropDown="0" showInputMessage="1" showErrorMessage="1" sqref="K27">
      <formula1>"220V,380V,440V,Pneumatico"</formula1>
    </dataValidation>
    <dataValidation type="list" operator="between" allowBlank="1" showDropDown="0" showInputMessage="1" showErrorMessage="1" sqref="J27"/>
    <dataValidation type="list" operator="between" allowBlank="1" showDropDown="0" showInputMessage="1" showErrorMessage="1" sqref="M20">
      <formula1>"SIM,NÃO"</formula1>
    </dataValidation>
    <dataValidation type="list" operator="between" allowBlank="1" showDropDown="0" showInputMessage="1" showErrorMessage="1" sqref="F27:I27">
      <formula1>"ASTM-A36,AISI-304,AISI-316L"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5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Ordem de Produção</vt:lpstr>
      <vt:lpstr>Pedido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Agimix Desenvolvimento</dc:creator>
  <cp:lastModifiedBy>wilbnerrodrigues9@outlook.com</cp:lastModifiedBy>
  <dcterms:created xsi:type="dcterms:W3CDTF">2024-06-19T14:30:10+02:00</dcterms:created>
  <dcterms:modified xsi:type="dcterms:W3CDTF">2025-10-16T14:30:45+02:00</dcterms:modified>
  <dc:title/>
  <dc:description/>
  <dc:subject/>
  <cp:keywords/>
  <cp:category/>
</cp:coreProperties>
</file>