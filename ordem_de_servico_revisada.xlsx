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\Documents\"/>
    </mc:Choice>
  </mc:AlternateContent>
  <xr:revisionPtr revIDLastSave="0" documentId="13_ncr:1_{370E28F1-9A4C-4046-8567-712AE33B73E9}" xr6:coauthVersionLast="47" xr6:coauthVersionMax="47" xr10:uidLastSave="{00000000-0000-0000-0000-000000000000}"/>
  <bookViews>
    <workbookView xWindow="-120" yWindow="-120" windowWidth="29040" windowHeight="15720" activeTab="1" xr2:uid="{F99765D6-6920-44BB-BA34-CE353258AA50}"/>
  </bookViews>
  <sheets>
    <sheet name="Ordem de Produção" sheetId="3" r:id="rId1"/>
    <sheet name="Pedido" sheetId="1" r:id="rId2"/>
  </sheets>
  <definedNames>
    <definedName name="_xlnm.Print_Area" localSheetId="0">'Ordem de Produção'!$A$1:$K$13</definedName>
    <definedName name="_xlnm.Print_Area" localSheetId="1">Pedido!$B$1:$O$52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8" i="1" l="1"/>
  <c r="N29" i="1"/>
  <c r="N27" i="1"/>
  <c r="B17" i="3"/>
  <c r="B16" i="3"/>
  <c r="B15" i="3"/>
  <c r="C17" i="3"/>
  <c r="C16" i="3"/>
  <c r="C15" i="3"/>
  <c r="F17" i="3"/>
  <c r="F16" i="3"/>
  <c r="F15" i="3"/>
  <c r="G4" i="3"/>
  <c r="D7" i="3"/>
  <c r="E9" i="3"/>
  <c r="K17" i="3"/>
  <c r="K16" i="3"/>
  <c r="K15" i="3"/>
  <c r="J17" i="3"/>
  <c r="J16" i="3"/>
  <c r="J15" i="3"/>
  <c r="I17" i="3"/>
  <c r="I16" i="3"/>
  <c r="I15" i="3"/>
  <c r="H17" i="3"/>
  <c r="H16" i="3"/>
  <c r="H15" i="3"/>
  <c r="N30" i="1" l="1"/>
</calcChain>
</file>

<file path=xl/sharedStrings.xml><?xml version="1.0" encoding="utf-8"?>
<sst xmlns="http://schemas.openxmlformats.org/spreadsheetml/2006/main" count="64" uniqueCount="58">
  <si>
    <t>Razão social:</t>
  </si>
  <si>
    <t>Data venda:</t>
  </si>
  <si>
    <t>Previsão entrega:</t>
  </si>
  <si>
    <t>N.º Proposta:</t>
  </si>
  <si>
    <t>Nome / Setor</t>
  </si>
  <si>
    <t>Telefone</t>
  </si>
  <si>
    <t>E-mail</t>
  </si>
  <si>
    <t>Produto</t>
  </si>
  <si>
    <t>Código</t>
  </si>
  <si>
    <t>Descrição</t>
  </si>
  <si>
    <t>Valor total</t>
  </si>
  <si>
    <t>Total</t>
  </si>
  <si>
    <t>CIF</t>
  </si>
  <si>
    <t>Transportadora</t>
  </si>
  <si>
    <t>Rodonaves</t>
  </si>
  <si>
    <t>Observações</t>
  </si>
  <si>
    <t xml:space="preserve">Dados para Faturamento </t>
  </si>
  <si>
    <t>Contato:</t>
  </si>
  <si>
    <t>Forma de pagamento:</t>
  </si>
  <si>
    <t>CLIENTE:</t>
  </si>
  <si>
    <t>NF:</t>
  </si>
  <si>
    <t>TRANSPORTADORA:</t>
  </si>
  <si>
    <t>STATUS:</t>
  </si>
  <si>
    <t>Frete:</t>
  </si>
  <si>
    <t>Valor</t>
  </si>
  <si>
    <t>Item</t>
  </si>
  <si>
    <t>QNT</t>
  </si>
  <si>
    <t xml:space="preserve">Dimenssões </t>
  </si>
  <si>
    <t>Comprimento(mm)</t>
  </si>
  <si>
    <t>Largura(mm)</t>
  </si>
  <si>
    <t>Altura</t>
  </si>
  <si>
    <t>Peso</t>
  </si>
  <si>
    <t>Volume</t>
  </si>
  <si>
    <t>Nº Proposta</t>
  </si>
  <si>
    <t>Altura(mm)</t>
  </si>
  <si>
    <t>Peso(kg)</t>
  </si>
  <si>
    <t>Tensão</t>
  </si>
  <si>
    <t>EQUIPAMENTO</t>
  </si>
  <si>
    <t>Produto similar</t>
  </si>
  <si>
    <t>Viscosidade</t>
  </si>
  <si>
    <t xml:space="preserve">Densidade </t>
  </si>
  <si>
    <t>PH</t>
  </si>
  <si>
    <t>Temperatura</t>
  </si>
  <si>
    <t>CV</t>
  </si>
  <si>
    <t>Valor uni.</t>
  </si>
  <si>
    <t>CPF/CNPJ:</t>
  </si>
  <si>
    <t>I.E</t>
  </si>
  <si>
    <t>Explosivo</t>
  </si>
  <si>
    <t>ASSINATURA DO CLIENTE</t>
  </si>
  <si>
    <t>NÃO</t>
  </si>
  <si>
    <t>Contato c/ produto</t>
  </si>
  <si>
    <t>Externo</t>
  </si>
  <si>
    <t>PEDIDO DE VENDA</t>
  </si>
  <si>
    <t xml:space="preserve">DIMENSÕES </t>
  </si>
  <si>
    <t>DADOS DO PRODUTO</t>
  </si>
  <si>
    <t>INFORMAÇÕES DE CONTATO</t>
  </si>
  <si>
    <t>DADOS DO CLIENTE</t>
  </si>
  <si>
    <t>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</si>
</sst>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&lt;=9999999]###\-####;\(###\)\ ###\-####"/>
    <numFmt numFmtId="165" formatCode="0\ &quot;mm&quot;"/>
    <numFmt numFmtId="166" formatCode="&quot;R$&quot;\ #,##0.00"/>
    <numFmt numFmtId="167" formatCode="&quot;Nº&quot;\ #,##0"/>
    <numFmt numFmtId="168" formatCode="00\.000\.000\/0000\-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Poppins"/>
    </font>
    <font>
      <u/>
      <sz val="11"/>
      <color theme="10"/>
      <name val="Poppins"/>
    </font>
    <font>
      <sz val="11"/>
      <name val="Poppins"/>
    </font>
    <font>
      <sz val="11"/>
      <color theme="0"/>
      <name val="Poppins"/>
    </font>
    <font>
      <b/>
      <sz val="11"/>
      <color theme="1"/>
      <name val="Poppins"/>
    </font>
    <font>
      <b/>
      <sz val="11"/>
      <color theme="1"/>
      <name val="Poppins SemiBold"/>
    </font>
    <font>
      <sz val="11"/>
      <color theme="1"/>
      <name val="Poppins SemiBold"/>
    </font>
    <font>
      <sz val="10"/>
      <color theme="1"/>
      <name val="Poppins SemiBold"/>
    </font>
    <font>
      <sz val="14"/>
      <color theme="1"/>
      <name val="Poppins SemiBold"/>
    </font>
    <font>
      <sz val="18"/>
      <color theme="1"/>
      <name val="Poppins SemiBold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4">
    <xf numFmtId="0" fontId="0" fillId="0" borderId="0" xfId="0"/>
    <xf numFmtId="0" fontId="3" fillId="0" borderId="0" xfId="0" applyFont="1"/>
    <xf numFmtId="0" fontId="0" fillId="3" borderId="0" xfId="0" applyFill="1" applyAlignment="1">
      <alignment horizontal="center"/>
    </xf>
    <xf numFmtId="0" fontId="0" fillId="0" borderId="22" xfId="0" applyBorder="1"/>
    <xf numFmtId="0" fontId="0" fillId="0" borderId="8" xfId="0" applyBorder="1"/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9" xfId="0" applyBorder="1"/>
    <xf numFmtId="0" fontId="0" fillId="0" borderId="0" xfId="0" applyAlignment="1">
      <alignment horizontal="left"/>
    </xf>
    <xf numFmtId="0" fontId="0" fillId="3" borderId="35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3" borderId="33" xfId="0" applyFill="1" applyBorder="1"/>
    <xf numFmtId="0" fontId="0" fillId="0" borderId="39" xfId="0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0" borderId="0" xfId="0" applyAlignment="1">
      <alignment vertical="top"/>
    </xf>
    <xf numFmtId="0" fontId="10" fillId="0" borderId="0" xfId="0" applyFont="1"/>
    <xf numFmtId="0" fontId="13" fillId="0" borderId="0" xfId="0" applyFont="1"/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4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11" xfId="0" applyFont="1" applyBorder="1"/>
    <xf numFmtId="0" fontId="10" fillId="0" borderId="11" xfId="0" applyFont="1" applyBorder="1" applyAlignment="1">
      <alignment vertical="top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1" applyNumberFormat="1" applyFont="1" applyBorder="1" applyAlignment="1">
      <alignment vertical="center"/>
    </xf>
    <xf numFmtId="8" fontId="10" fillId="0" borderId="1" xfId="1" applyNumberFormat="1" applyFont="1" applyBorder="1" applyAlignment="1">
      <alignment vertical="center"/>
    </xf>
    <xf numFmtId="8" fontId="10" fillId="0" borderId="2" xfId="1" applyNumberFormat="1" applyFont="1" applyBorder="1" applyAlignment="1">
      <alignment horizontal="center" vertical="center"/>
    </xf>
    <xf numFmtId="44" fontId="10" fillId="0" borderId="1" xfId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left" vertical="center"/>
    </xf>
    <xf numFmtId="166" fontId="10" fillId="0" borderId="1" xfId="0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2" fillId="2" borderId="3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1" xfId="0" applyBorder="1" applyAlignment="1">
      <alignment horizontal="center"/>
    </xf>
    <xf numFmtId="0" fontId="8" fillId="2" borderId="33" xfId="0" applyFont="1" applyFill="1" applyBorder="1" applyAlignment="1">
      <alignment horizontal="center" vertical="top"/>
    </xf>
    <xf numFmtId="0" fontId="8" fillId="2" borderId="36" xfId="0" applyFont="1" applyFill="1" applyBorder="1" applyAlignment="1">
      <alignment horizontal="center" vertical="top"/>
    </xf>
    <xf numFmtId="0" fontId="9" fillId="2" borderId="33" xfId="0" applyFont="1" applyFill="1" applyBorder="1" applyAlignment="1">
      <alignment horizontal="center" vertical="top" wrapText="1"/>
    </xf>
    <xf numFmtId="0" fontId="9" fillId="2" borderId="37" xfId="0" applyFont="1" applyFill="1" applyBorder="1" applyAlignment="1">
      <alignment horizontal="center" vertical="top" wrapText="1"/>
    </xf>
    <xf numFmtId="0" fontId="9" fillId="2" borderId="36" xfId="0" applyFont="1" applyFill="1" applyBorder="1" applyAlignment="1">
      <alignment horizontal="center" vertical="top" wrapText="1"/>
    </xf>
    <xf numFmtId="0" fontId="0" fillId="3" borderId="3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2" borderId="13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horizontal="left" vertical="center"/>
    </xf>
    <xf numFmtId="0" fontId="16" fillId="2" borderId="18" xfId="0" applyFont="1" applyFill="1" applyBorder="1" applyAlignment="1">
      <alignment horizontal="left" vertical="center"/>
    </xf>
    <xf numFmtId="0" fontId="16" fillId="2" borderId="20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168" fontId="10" fillId="0" borderId="13" xfId="0" applyNumberFormat="1" applyFont="1" applyBorder="1" applyAlignment="1">
      <alignment horizontal="center" vertical="center"/>
    </xf>
    <xf numFmtId="168" fontId="10" fillId="0" borderId="14" xfId="0" applyNumberFormat="1" applyFont="1" applyBorder="1" applyAlignment="1">
      <alignment horizontal="center" vertical="center"/>
    </xf>
    <xf numFmtId="168" fontId="10" fillId="0" borderId="15" xfId="0" applyNumberFormat="1" applyFont="1" applyBorder="1" applyAlignment="1">
      <alignment horizontal="center" vertical="center"/>
    </xf>
    <xf numFmtId="168" fontId="10" fillId="0" borderId="18" xfId="0" applyNumberFormat="1" applyFont="1" applyBorder="1" applyAlignment="1">
      <alignment horizontal="center" vertical="center"/>
    </xf>
    <xf numFmtId="168" fontId="10" fillId="0" borderId="19" xfId="0" applyNumberFormat="1" applyFont="1" applyBorder="1" applyAlignment="1">
      <alignment horizontal="center" vertical="center"/>
    </xf>
    <xf numFmtId="168" fontId="10" fillId="0" borderId="20" xfId="0" applyNumberFormat="1" applyFont="1" applyBorder="1" applyAlignment="1">
      <alignment horizontal="center" vertical="center"/>
    </xf>
    <xf numFmtId="0" fontId="16" fillId="2" borderId="22" xfId="0" applyFont="1" applyFill="1" applyBorder="1" applyAlignment="1">
      <alignment horizontal="left" vertical="center"/>
    </xf>
    <xf numFmtId="0" fontId="16" fillId="2" borderId="23" xfId="0" applyFont="1" applyFill="1" applyBorder="1" applyAlignment="1">
      <alignment horizontal="left" vertical="center"/>
    </xf>
    <xf numFmtId="12" fontId="10" fillId="0" borderId="13" xfId="0" applyNumberFormat="1" applyFont="1" applyBorder="1" applyAlignment="1">
      <alignment horizontal="center" vertical="center"/>
    </xf>
    <xf numFmtId="12" fontId="10" fillId="0" borderId="14" xfId="0" applyNumberFormat="1" applyFont="1" applyBorder="1" applyAlignment="1">
      <alignment horizontal="center" vertical="center"/>
    </xf>
    <xf numFmtId="12" fontId="10" fillId="0" borderId="15" xfId="0" applyNumberFormat="1" applyFont="1" applyBorder="1" applyAlignment="1">
      <alignment horizontal="center" vertical="center"/>
    </xf>
    <xf numFmtId="12" fontId="10" fillId="0" borderId="18" xfId="0" applyNumberFormat="1" applyFont="1" applyBorder="1" applyAlignment="1">
      <alignment horizontal="center" vertical="center"/>
    </xf>
    <xf numFmtId="12" fontId="10" fillId="0" borderId="19" xfId="0" applyNumberFormat="1" applyFont="1" applyBorder="1" applyAlignment="1">
      <alignment horizontal="center" vertical="center"/>
    </xf>
    <xf numFmtId="12" fontId="10" fillId="0" borderId="20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8" fontId="10" fillId="0" borderId="2" xfId="1" applyNumberFormat="1" applyFont="1" applyBorder="1" applyAlignment="1">
      <alignment horizontal="center"/>
    </xf>
    <xf numFmtId="8" fontId="10" fillId="0" borderId="3" xfId="1" applyNumberFormat="1" applyFont="1" applyBorder="1" applyAlignment="1">
      <alignment horizontal="center"/>
    </xf>
    <xf numFmtId="8" fontId="10" fillId="0" borderId="4" xfId="1" applyNumberFormat="1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44" fontId="10" fillId="0" borderId="13" xfId="1" applyFont="1" applyBorder="1" applyAlignment="1">
      <alignment horizontal="center"/>
    </xf>
    <xf numFmtId="44" fontId="10" fillId="0" borderId="14" xfId="1" applyFont="1" applyBorder="1" applyAlignment="1">
      <alignment horizontal="center"/>
    </xf>
    <xf numFmtId="44" fontId="10" fillId="0" borderId="15" xfId="1" applyFont="1" applyBorder="1" applyAlignment="1">
      <alignment horizontal="center"/>
    </xf>
    <xf numFmtId="44" fontId="10" fillId="0" borderId="16" xfId="1" applyFont="1" applyBorder="1" applyAlignment="1">
      <alignment horizontal="center"/>
    </xf>
    <xf numFmtId="44" fontId="10" fillId="0" borderId="0" xfId="1" applyFont="1" applyBorder="1" applyAlignment="1">
      <alignment horizontal="center"/>
    </xf>
    <xf numFmtId="44" fontId="10" fillId="0" borderId="17" xfId="1" applyFont="1" applyBorder="1" applyAlignment="1">
      <alignment horizontal="center"/>
    </xf>
    <xf numFmtId="44" fontId="10" fillId="0" borderId="18" xfId="1" applyFont="1" applyBorder="1" applyAlignment="1">
      <alignment horizontal="center"/>
    </xf>
    <xf numFmtId="44" fontId="10" fillId="0" borderId="19" xfId="1" applyFont="1" applyBorder="1" applyAlignment="1">
      <alignment horizontal="center"/>
    </xf>
    <xf numFmtId="44" fontId="10" fillId="0" borderId="20" xfId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 vertical="top"/>
    </xf>
    <xf numFmtId="0" fontId="16" fillId="2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165" fontId="10" fillId="0" borderId="2" xfId="0" applyNumberFormat="1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2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0" fontId="16" fillId="2" borderId="18" xfId="0" applyFont="1" applyFill="1" applyBorder="1" applyAlignment="1">
      <alignment vertical="center"/>
    </xf>
    <xf numFmtId="0" fontId="16" fillId="2" borderId="19" xfId="0" applyFont="1" applyFill="1" applyBorder="1" applyAlignment="1">
      <alignment vertical="center"/>
    </xf>
    <xf numFmtId="0" fontId="16" fillId="2" borderId="20" xfId="0" applyFont="1" applyFill="1" applyBorder="1" applyAlignment="1">
      <alignment vertical="center"/>
    </xf>
    <xf numFmtId="44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/>
    </xf>
    <xf numFmtId="14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7" fontId="19" fillId="0" borderId="2" xfId="0" applyNumberFormat="1" applyFont="1" applyBorder="1" applyAlignment="1">
      <alignment horizontal="center" vertical="center"/>
    </xf>
    <xf numFmtId="167" fontId="19" fillId="0" borderId="3" xfId="0" applyNumberFormat="1" applyFont="1" applyBorder="1" applyAlignment="1">
      <alignment horizontal="center" vertical="center"/>
    </xf>
    <xf numFmtId="167" fontId="19" fillId="0" borderId="4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4" fontId="10" fillId="0" borderId="1" xfId="1" applyFont="1" applyBorder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51413</xdr:colOff>
      <xdr:row>1</xdr:row>
      <xdr:rowOff>33857</xdr:rowOff>
    </xdr:from>
    <xdr:to>
      <xdr:col>4</xdr:col>
      <xdr:colOff>604604</xdr:colOff>
      <xdr:row>5</xdr:row>
      <xdr:rowOff>160028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0A7A50-EF98-46E0-A6A3-ED2C9C1B5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106"/>
        <a:stretch/>
      </xdr:blipFill>
      <xdr:spPr>
        <a:xfrm>
          <a:off x="301034" y="230926"/>
          <a:ext cx="2142880" cy="9144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1</xdr:row>
      <xdr:rowOff>123826</xdr:rowOff>
    </xdr:from>
    <xdr:to>
      <xdr:col>3</xdr:col>
      <xdr:colOff>843267</xdr:colOff>
      <xdr:row>1</xdr:row>
      <xdr:rowOff>866776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C6CD68-18F4-B107-4544-37E6B3094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400051"/>
          <a:ext cx="1910067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0A7F-3DB3-4991-BE5B-56EED8DC2291}">
  <sheetPr>
    <pageSetUpPr fitToPage="1"/>
  </sheetPr>
  <dimension ref="A1:L17"/>
  <sheetViews>
    <sheetView zoomScale="106" zoomScaleNormal="145" workbookViewId="0">
      <selection activeCell="E36" sqref="E36"/>
    </sheetView>
  </sheetViews>
  <sheetFormatPr defaultRowHeight="15" x14ac:dyDescent="0.25"/>
  <cols>
    <col min="1" max="1" width="3.7109375" customWidth="1"/>
    <col min="2" max="2" width="4.140625" customWidth="1"/>
    <col min="3" max="3" width="9.140625" customWidth="1"/>
    <col min="4" max="4" width="10.5703125" bestFit="1" customWidth="1"/>
    <col min="5" max="5" width="18.140625" bestFit="1" customWidth="1"/>
    <col min="6" max="6" width="11.42578125" bestFit="1" customWidth="1"/>
    <col min="7" max="7" width="8" customWidth="1"/>
    <col min="8" max="8" width="11.140625" bestFit="1" customWidth="1"/>
    <col min="9" max="9" width="11.42578125" customWidth="1"/>
    <col min="10" max="10" width="8.7109375" bestFit="1" customWidth="1"/>
    <col min="14" max="14" width="13.28515625" bestFit="1" customWidth="1"/>
  </cols>
  <sheetData>
    <row r="1" spans="1:12" ht="15.75" thickBot="1" x14ac:dyDescent="0.3"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 ht="15.75" customHeight="1" x14ac:dyDescent="0.25">
      <c r="B2" s="57"/>
      <c r="C2" s="58"/>
      <c r="D2" s="58"/>
      <c r="E2" s="59"/>
      <c r="F2" s="81" t="s">
        <v>20</v>
      </c>
      <c r="G2" s="68"/>
      <c r="H2" s="69"/>
      <c r="I2" s="69"/>
      <c r="J2" s="69"/>
      <c r="K2" s="69"/>
      <c r="L2" s="4"/>
    </row>
    <row r="3" spans="1:12" ht="15.75" customHeight="1" thickBot="1" x14ac:dyDescent="0.3">
      <c r="B3" s="60"/>
      <c r="C3" s="61"/>
      <c r="D3" s="61"/>
      <c r="E3" s="62"/>
      <c r="F3" s="82"/>
      <c r="G3" s="70"/>
      <c r="H3" s="71"/>
      <c r="I3" s="71"/>
      <c r="J3" s="71"/>
      <c r="K3" s="71"/>
      <c r="L3" s="4"/>
    </row>
    <row r="4" spans="1:12" ht="15.75" customHeight="1" x14ac:dyDescent="0.25">
      <c r="B4" s="60"/>
      <c r="C4" s="61"/>
      <c r="D4" s="61"/>
      <c r="E4" s="62"/>
      <c r="F4" s="83" t="s">
        <v>33</v>
      </c>
      <c r="G4" s="68">
        <f>Pedido!N7</f>
        <v>0</v>
      </c>
      <c r="H4" s="69"/>
      <c r="I4" s="69"/>
      <c r="J4" s="69"/>
      <c r="K4" s="69"/>
      <c r="L4" s="4"/>
    </row>
    <row r="5" spans="1:12" ht="15.75" customHeight="1" x14ac:dyDescent="0.25">
      <c r="B5" s="60"/>
      <c r="C5" s="61"/>
      <c r="D5" s="61"/>
      <c r="E5" s="62"/>
      <c r="F5" s="84"/>
      <c r="G5" s="72"/>
      <c r="H5" s="73"/>
      <c r="I5" s="73"/>
      <c r="J5" s="73"/>
      <c r="K5" s="73"/>
      <c r="L5" s="4"/>
    </row>
    <row r="6" spans="1:12" ht="15.75" customHeight="1" thickBot="1" x14ac:dyDescent="0.3">
      <c r="B6" s="63"/>
      <c r="C6" s="64"/>
      <c r="D6" s="64"/>
      <c r="E6" s="65"/>
      <c r="F6" s="85"/>
      <c r="G6" s="70"/>
      <c r="H6" s="71"/>
      <c r="I6" s="71"/>
      <c r="J6" s="71"/>
      <c r="K6" s="71"/>
      <c r="L6" s="4"/>
    </row>
    <row r="7" spans="1:12" ht="15" customHeight="1" x14ac:dyDescent="0.25">
      <c r="B7" s="53" t="s">
        <v>19</v>
      </c>
      <c r="C7" s="55"/>
      <c r="D7" s="74">
        <f>Pedido!D5</f>
        <v>0</v>
      </c>
      <c r="E7" s="75"/>
      <c r="F7" s="75"/>
      <c r="G7" s="75"/>
      <c r="H7" s="75"/>
      <c r="I7" s="75"/>
      <c r="J7" s="75"/>
      <c r="K7" s="75"/>
      <c r="L7" s="4"/>
    </row>
    <row r="8" spans="1:12" ht="15" customHeight="1" thickBot="1" x14ac:dyDescent="0.3">
      <c r="B8" s="50"/>
      <c r="C8" s="56"/>
      <c r="D8" s="76"/>
      <c r="E8" s="77"/>
      <c r="F8" s="77"/>
      <c r="G8" s="77"/>
      <c r="H8" s="77"/>
      <c r="I8" s="77"/>
      <c r="J8" s="77"/>
      <c r="K8" s="77"/>
      <c r="L8" s="4"/>
    </row>
    <row r="9" spans="1:12" ht="15" customHeight="1" x14ac:dyDescent="0.25">
      <c r="B9" s="47" t="s">
        <v>21</v>
      </c>
      <c r="C9" s="48"/>
      <c r="D9" s="49"/>
      <c r="E9" s="78">
        <f>Pedido!I39</f>
        <v>0</v>
      </c>
      <c r="F9" s="79"/>
      <c r="G9" s="79"/>
      <c r="H9" s="79"/>
      <c r="I9" s="79"/>
      <c r="J9" s="79"/>
      <c r="K9" s="79"/>
      <c r="L9" s="4"/>
    </row>
    <row r="10" spans="1:12" ht="15.75" customHeight="1" thickBot="1" x14ac:dyDescent="0.3">
      <c r="B10" s="50"/>
      <c r="C10" s="51"/>
      <c r="D10" s="52"/>
      <c r="E10" s="78"/>
      <c r="F10" s="79"/>
      <c r="G10" s="79"/>
      <c r="H10" s="79"/>
      <c r="I10" s="79"/>
      <c r="J10" s="79"/>
      <c r="K10" s="79"/>
      <c r="L10" s="4"/>
    </row>
    <row r="11" spans="1:12" ht="15.75" thickBot="1" x14ac:dyDescent="0.3">
      <c r="B11" s="53" t="s">
        <v>22</v>
      </c>
      <c r="C11" s="54"/>
      <c r="D11" s="55"/>
      <c r="E11" s="80"/>
      <c r="F11" s="80"/>
      <c r="G11" s="80"/>
      <c r="H11" s="80"/>
      <c r="I11" s="80"/>
      <c r="J11" s="80"/>
      <c r="K11" s="80"/>
    </row>
    <row r="12" spans="1:12" ht="15.75" thickBot="1" x14ac:dyDescent="0.3">
      <c r="B12" s="50"/>
      <c r="C12" s="51"/>
      <c r="D12" s="56"/>
      <c r="E12" s="80"/>
      <c r="F12" s="80"/>
      <c r="G12" s="80"/>
      <c r="H12" s="80"/>
      <c r="I12" s="80"/>
      <c r="J12" s="80"/>
      <c r="K12" s="80"/>
    </row>
    <row r="13" spans="1:12" ht="15.75" thickBot="1" x14ac:dyDescent="0.3">
      <c r="B13" s="45" t="s">
        <v>27</v>
      </c>
      <c r="C13" s="86"/>
      <c r="D13" s="86"/>
      <c r="E13" s="86"/>
      <c r="F13" s="86"/>
      <c r="G13" s="86"/>
      <c r="H13" s="86"/>
      <c r="I13" s="86"/>
      <c r="J13" s="86"/>
      <c r="K13" s="86"/>
      <c r="L13" s="4"/>
    </row>
    <row r="14" spans="1:12" ht="15.75" thickBot="1" x14ac:dyDescent="0.3">
      <c r="A14" s="7"/>
      <c r="B14" s="11" t="s">
        <v>25</v>
      </c>
      <c r="C14" s="87" t="s">
        <v>7</v>
      </c>
      <c r="D14" s="88"/>
      <c r="E14" s="89"/>
      <c r="F14" s="45" t="s">
        <v>28</v>
      </c>
      <c r="G14" s="46"/>
      <c r="H14" s="9" t="s">
        <v>29</v>
      </c>
      <c r="I14" s="9" t="s">
        <v>34</v>
      </c>
      <c r="J14" s="2" t="s">
        <v>35</v>
      </c>
      <c r="K14" s="13" t="s">
        <v>32</v>
      </c>
      <c r="L14" s="4"/>
    </row>
    <row r="15" spans="1:12" ht="15.75" thickBot="1" x14ac:dyDescent="0.3">
      <c r="B15" s="6">
        <f>Pedido!B27</f>
        <v>1</v>
      </c>
      <c r="C15" s="66">
        <f>Pedido!E27</f>
        <v>0</v>
      </c>
      <c r="D15" s="90"/>
      <c r="E15" s="67"/>
      <c r="F15" s="66">
        <f>Pedido!C34</f>
        <v>0</v>
      </c>
      <c r="G15" s="67"/>
      <c r="H15" s="5">
        <f>Pedido!E34</f>
        <v>0</v>
      </c>
      <c r="I15" s="10">
        <f>Pedido!G34</f>
        <v>0</v>
      </c>
      <c r="J15" s="5">
        <f>Pedido!K34</f>
        <v>0</v>
      </c>
      <c r="K15" s="5">
        <f>Pedido!N34</f>
        <v>0</v>
      </c>
    </row>
    <row r="16" spans="1:12" ht="15.75" thickBot="1" x14ac:dyDescent="0.3">
      <c r="B16" s="6">
        <f>Pedido!B28</f>
        <v>2</v>
      </c>
      <c r="C16" s="66">
        <f>Pedido!E28</f>
        <v>0</v>
      </c>
      <c r="D16" s="90"/>
      <c r="E16" s="67"/>
      <c r="F16" s="66">
        <f>Pedido!C35</f>
        <v>0</v>
      </c>
      <c r="G16" s="67"/>
      <c r="H16" s="10">
        <f>Pedido!E35</f>
        <v>0</v>
      </c>
      <c r="I16" s="10">
        <f>Pedido!G35</f>
        <v>0</v>
      </c>
      <c r="J16" s="5">
        <f>Pedido!K35</f>
        <v>0</v>
      </c>
      <c r="K16" s="5">
        <f>Pedido!N35</f>
        <v>0</v>
      </c>
    </row>
    <row r="17" spans="2:12" ht="15.75" thickBot="1" x14ac:dyDescent="0.3">
      <c r="B17" s="6">
        <f>Pedido!B29</f>
        <v>3</v>
      </c>
      <c r="C17" s="91">
        <f>Pedido!E29</f>
        <v>0</v>
      </c>
      <c r="D17" s="92"/>
      <c r="E17" s="93"/>
      <c r="F17" s="66">
        <f>Pedido!E36</f>
        <v>0</v>
      </c>
      <c r="G17" s="67"/>
      <c r="H17" s="10">
        <f>Pedido!E36</f>
        <v>0</v>
      </c>
      <c r="I17" s="10">
        <f>Pedido!G36</f>
        <v>0</v>
      </c>
      <c r="J17" s="5">
        <f>Pedido!K36</f>
        <v>0</v>
      </c>
      <c r="K17" s="12">
        <f>Pedido!N36</f>
        <v>0</v>
      </c>
      <c r="L17" s="4"/>
    </row>
  </sheetData>
  <mergeCells count="20">
    <mergeCell ref="F15:G15"/>
    <mergeCell ref="F16:G16"/>
    <mergeCell ref="F17:G17"/>
    <mergeCell ref="G2:K3"/>
    <mergeCell ref="G4:K6"/>
    <mergeCell ref="D7:K8"/>
    <mergeCell ref="E9:K10"/>
    <mergeCell ref="E11:K12"/>
    <mergeCell ref="F2:F3"/>
    <mergeCell ref="F4:F6"/>
    <mergeCell ref="B13:K13"/>
    <mergeCell ref="C14:E14"/>
    <mergeCell ref="C15:E15"/>
    <mergeCell ref="C16:E16"/>
    <mergeCell ref="C17:E17"/>
    <mergeCell ref="F14:G14"/>
    <mergeCell ref="B9:D10"/>
    <mergeCell ref="B11:D12"/>
    <mergeCell ref="B7:C8"/>
    <mergeCell ref="B2:E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9E4C-C80B-4EA0-9968-70A197BFD6A4}">
  <sheetPr>
    <pageSetUpPr fitToPage="1"/>
  </sheetPr>
  <dimension ref="A1:U58"/>
  <sheetViews>
    <sheetView tabSelected="1" topLeftCell="A37" zoomScaleNormal="100" workbookViewId="0">
      <selection activeCell="H37" sqref="H37"/>
    </sheetView>
  </sheetViews>
  <sheetFormatPr defaultRowHeight="15" x14ac:dyDescent="0.25"/>
  <cols>
    <col min="1" max="1" width="2" customWidth="1"/>
    <col min="2" max="2" width="10" customWidth="1"/>
    <col min="3" max="3" width="16.85546875" customWidth="1"/>
    <col min="4" max="4" width="21.5703125" customWidth="1"/>
    <col min="5" max="5" width="17.7109375" customWidth="1"/>
    <col min="6" max="6" width="17.28515625" customWidth="1"/>
    <col min="7" max="7" width="13.28515625" customWidth="1"/>
    <col min="8" max="8" width="9.28515625" bestFit="1" customWidth="1"/>
    <col min="9" max="9" width="5.28515625" customWidth="1"/>
    <col min="10" max="10" width="8.28515625" customWidth="1"/>
    <col min="11" max="11" width="12.7109375" customWidth="1"/>
    <col min="12" max="12" width="7.85546875" customWidth="1"/>
    <col min="13" max="13" width="10.140625" customWidth="1"/>
    <col min="14" max="14" width="14.85546875" customWidth="1"/>
    <col min="15" max="15" width="10.85546875" customWidth="1"/>
  </cols>
  <sheetData>
    <row r="1" spans="1:17" ht="21.75" x14ac:dyDescent="0.6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75.75" customHeight="1" x14ac:dyDescent="0.6">
      <c r="A2" s="15"/>
      <c r="B2" s="122"/>
      <c r="C2" s="122"/>
      <c r="D2" s="122"/>
      <c r="E2" s="122"/>
      <c r="F2" s="166" t="s">
        <v>52</v>
      </c>
      <c r="G2" s="166"/>
      <c r="H2" s="166"/>
      <c r="I2" s="166"/>
      <c r="J2" s="170"/>
      <c r="K2" s="171"/>
      <c r="L2" s="171"/>
      <c r="M2" s="171"/>
      <c r="N2" s="171"/>
      <c r="O2" s="172"/>
      <c r="P2" s="15"/>
      <c r="Q2" s="15"/>
    </row>
    <row r="3" spans="1:17" ht="7.5" customHeight="1" x14ac:dyDescent="0.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21.75" x14ac:dyDescent="0.6">
      <c r="A4" s="15"/>
      <c r="B4" s="116" t="s">
        <v>56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</row>
    <row r="5" spans="1:17" ht="21.75" customHeight="1" x14ac:dyDescent="0.6">
      <c r="A5" s="15"/>
      <c r="B5" s="94" t="s">
        <v>0</v>
      </c>
      <c r="C5" s="95"/>
      <c r="D5" s="98"/>
      <c r="E5" s="99"/>
      <c r="F5" s="94" t="s">
        <v>45</v>
      </c>
      <c r="G5" s="95"/>
      <c r="H5" s="102"/>
      <c r="I5" s="103"/>
      <c r="J5" s="103"/>
      <c r="K5" s="104"/>
      <c r="L5" s="108" t="s">
        <v>46</v>
      </c>
      <c r="M5" s="110"/>
      <c r="N5" s="111"/>
      <c r="O5" s="112"/>
    </row>
    <row r="6" spans="1:17" ht="21.75" x14ac:dyDescent="0.6">
      <c r="A6" s="15"/>
      <c r="B6" s="96"/>
      <c r="C6" s="97"/>
      <c r="D6" s="100"/>
      <c r="E6" s="101"/>
      <c r="F6" s="96"/>
      <c r="G6" s="97"/>
      <c r="H6" s="105"/>
      <c r="I6" s="106"/>
      <c r="J6" s="106"/>
      <c r="K6" s="107"/>
      <c r="L6" s="109"/>
      <c r="M6" s="113"/>
      <c r="N6" s="114"/>
      <c r="O6" s="115"/>
    </row>
    <row r="7" spans="1:17" ht="21.75" x14ac:dyDescent="0.6">
      <c r="A7" s="15"/>
      <c r="B7" s="167" t="s">
        <v>1</v>
      </c>
      <c r="C7" s="167"/>
      <c r="D7" s="168"/>
      <c r="E7" s="168"/>
      <c r="F7" s="164" t="s">
        <v>2</v>
      </c>
      <c r="G7" s="165"/>
      <c r="H7" s="173"/>
      <c r="I7" s="174"/>
      <c r="J7" s="174"/>
      <c r="K7" s="175"/>
      <c r="L7" s="167" t="s">
        <v>3</v>
      </c>
      <c r="M7" s="167"/>
      <c r="N7" s="169"/>
      <c r="O7" s="169"/>
    </row>
    <row r="8" spans="1:17" ht="13.5" customHeight="1" x14ac:dyDescent="0.6">
      <c r="A8" s="15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1:17" ht="4.5" customHeight="1" x14ac:dyDescent="0.6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ht="27" customHeight="1" x14ac:dyDescent="0.6">
      <c r="A10" s="15"/>
      <c r="B10" s="116" t="s">
        <v>55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5"/>
      <c r="Q10" s="15"/>
    </row>
    <row r="11" spans="1:17" ht="21.75" x14ac:dyDescent="0.6">
      <c r="A11" s="15"/>
      <c r="B11" s="120" t="s">
        <v>4</v>
      </c>
      <c r="C11" s="120"/>
      <c r="D11" s="120"/>
      <c r="E11" s="120"/>
      <c r="F11" s="120" t="s">
        <v>5</v>
      </c>
      <c r="G11" s="120"/>
      <c r="H11" s="120"/>
      <c r="I11" s="120" t="s">
        <v>6</v>
      </c>
      <c r="J11" s="120"/>
      <c r="K11" s="120"/>
      <c r="L11" s="120"/>
      <c r="M11" s="120"/>
      <c r="N11" s="120"/>
      <c r="O11" s="120"/>
      <c r="P11" s="15"/>
      <c r="Q11" s="15"/>
    </row>
    <row r="12" spans="1:17" ht="21.75" x14ac:dyDescent="0.6">
      <c r="A12" s="15"/>
      <c r="B12" s="121"/>
      <c r="C12" s="147"/>
      <c r="D12" s="147"/>
      <c r="E12" s="147"/>
      <c r="F12" s="139"/>
      <c r="G12" s="139"/>
      <c r="H12" s="139"/>
      <c r="I12" s="121"/>
      <c r="J12" s="122"/>
      <c r="K12" s="122"/>
      <c r="L12" s="122"/>
      <c r="M12" s="122"/>
      <c r="N12" s="122"/>
      <c r="O12" s="122"/>
      <c r="P12" s="15"/>
      <c r="Q12" s="15"/>
    </row>
    <row r="13" spans="1:17" ht="21.75" x14ac:dyDescent="0.6">
      <c r="A13" s="15"/>
      <c r="B13" s="122"/>
      <c r="C13" s="122"/>
      <c r="D13" s="122"/>
      <c r="E13" s="122"/>
      <c r="F13" s="139"/>
      <c r="G13" s="139"/>
      <c r="H13" s="139"/>
      <c r="I13" s="122"/>
      <c r="J13" s="122"/>
      <c r="K13" s="122"/>
      <c r="L13" s="122"/>
      <c r="M13" s="122"/>
      <c r="N13" s="122"/>
      <c r="O13" s="122"/>
      <c r="P13" s="15"/>
      <c r="Q13" s="15"/>
    </row>
    <row r="14" spans="1:17" ht="21.75" x14ac:dyDescent="0.6">
      <c r="A14" s="15"/>
      <c r="B14" s="122"/>
      <c r="C14" s="122"/>
      <c r="D14" s="122"/>
      <c r="E14" s="122"/>
      <c r="F14" s="139"/>
      <c r="G14" s="139"/>
      <c r="H14" s="139"/>
      <c r="I14" s="122"/>
      <c r="J14" s="122"/>
      <c r="K14" s="122"/>
      <c r="L14" s="122"/>
      <c r="M14" s="122"/>
      <c r="N14" s="122"/>
      <c r="O14" s="122"/>
      <c r="P14" s="15"/>
      <c r="Q14" s="15"/>
    </row>
    <row r="15" spans="1:17" ht="21.75" x14ac:dyDescent="0.6">
      <c r="A15" s="15"/>
      <c r="B15" s="122"/>
      <c r="C15" s="122"/>
      <c r="D15" s="122"/>
      <c r="E15" s="122"/>
      <c r="F15" s="139"/>
      <c r="G15" s="139"/>
      <c r="H15" s="139"/>
      <c r="I15" s="122"/>
      <c r="J15" s="122"/>
      <c r="K15" s="122"/>
      <c r="L15" s="122"/>
      <c r="M15" s="122"/>
      <c r="N15" s="122"/>
      <c r="O15" s="122"/>
      <c r="P15" s="15"/>
      <c r="Q15" s="15"/>
    </row>
    <row r="16" spans="1:17" ht="21.75" x14ac:dyDescent="0.6">
      <c r="A16" s="15"/>
      <c r="B16" s="122"/>
      <c r="C16" s="122"/>
      <c r="D16" s="122"/>
      <c r="E16" s="122"/>
      <c r="F16" s="139"/>
      <c r="G16" s="139"/>
      <c r="H16" s="139"/>
      <c r="I16" s="122"/>
      <c r="J16" s="122"/>
      <c r="K16" s="122"/>
      <c r="L16" s="122"/>
      <c r="M16" s="122"/>
      <c r="N16" s="122"/>
      <c r="O16" s="122"/>
      <c r="P16" s="15"/>
      <c r="Q16" s="15"/>
    </row>
    <row r="17" spans="1:21" ht="5.25" customHeight="1" x14ac:dyDescent="0.6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21" ht="21.75" x14ac:dyDescent="0.6">
      <c r="A18" s="15"/>
      <c r="B18" s="151" t="s">
        <v>54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6"/>
      <c r="Q18" s="15"/>
    </row>
    <row r="19" spans="1:21" s="8" customFormat="1" ht="29.25" customHeight="1" x14ac:dyDescent="0.6">
      <c r="A19" s="17"/>
      <c r="B19" s="149" t="s">
        <v>7</v>
      </c>
      <c r="C19" s="150"/>
      <c r="D19" s="148"/>
      <c r="E19" s="148"/>
      <c r="F19" s="148"/>
      <c r="G19" s="148"/>
      <c r="H19" s="148"/>
      <c r="I19" s="148"/>
      <c r="J19" s="148"/>
      <c r="K19" s="152" t="s">
        <v>41</v>
      </c>
      <c r="L19" s="152"/>
      <c r="M19" s="123"/>
      <c r="N19" s="124"/>
      <c r="O19" s="125"/>
      <c r="P19" s="18"/>
      <c r="Q19" s="17"/>
    </row>
    <row r="20" spans="1:21" ht="24.75" customHeight="1" x14ac:dyDescent="0.6">
      <c r="A20" s="15"/>
      <c r="B20" s="149" t="s">
        <v>38</v>
      </c>
      <c r="C20" s="150"/>
      <c r="D20" s="129"/>
      <c r="E20" s="129"/>
      <c r="F20" s="129"/>
      <c r="G20" s="129"/>
      <c r="H20" s="129"/>
      <c r="I20" s="129"/>
      <c r="J20" s="129"/>
      <c r="K20" s="152" t="s">
        <v>47</v>
      </c>
      <c r="L20" s="152"/>
      <c r="M20" s="126" t="s">
        <v>49</v>
      </c>
      <c r="N20" s="127"/>
      <c r="O20" s="128"/>
      <c r="P20" s="16"/>
      <c r="Q20" s="15"/>
    </row>
    <row r="21" spans="1:21" ht="26.25" customHeight="1" x14ac:dyDescent="0.6">
      <c r="A21" s="15"/>
      <c r="B21" s="149" t="s">
        <v>39</v>
      </c>
      <c r="C21" s="150"/>
      <c r="D21" s="129"/>
      <c r="E21" s="129"/>
      <c r="F21" s="129"/>
      <c r="G21" s="129"/>
      <c r="H21" s="129"/>
      <c r="I21" s="129"/>
      <c r="J21" s="129"/>
      <c r="K21" s="122"/>
      <c r="L21" s="122"/>
      <c r="M21" s="130"/>
      <c r="N21" s="131"/>
      <c r="O21" s="132"/>
      <c r="P21" s="16"/>
      <c r="Q21" s="15"/>
    </row>
    <row r="22" spans="1:21" ht="23.25" customHeight="1" x14ac:dyDescent="0.6">
      <c r="A22" s="15"/>
      <c r="B22" s="149" t="s">
        <v>40</v>
      </c>
      <c r="C22" s="150"/>
      <c r="D22" s="129"/>
      <c r="E22" s="129"/>
      <c r="F22" s="129"/>
      <c r="G22" s="129"/>
      <c r="H22" s="129"/>
      <c r="I22" s="129"/>
      <c r="J22" s="129"/>
      <c r="K22" s="122"/>
      <c r="L22" s="122"/>
      <c r="M22" s="133"/>
      <c r="N22" s="134"/>
      <c r="O22" s="135"/>
      <c r="P22" s="15"/>
      <c r="Q22" s="15"/>
    </row>
    <row r="23" spans="1:21" ht="21.75" x14ac:dyDescent="0.6">
      <c r="A23" s="15"/>
      <c r="B23" s="149" t="s">
        <v>42</v>
      </c>
      <c r="C23" s="150"/>
      <c r="D23" s="122"/>
      <c r="E23" s="122"/>
      <c r="F23" s="122"/>
      <c r="G23" s="122"/>
      <c r="H23" s="122"/>
      <c r="I23" s="122"/>
      <c r="J23" s="122"/>
      <c r="K23" s="122"/>
      <c r="L23" s="122"/>
      <c r="M23" s="136"/>
      <c r="N23" s="137"/>
      <c r="O23" s="138"/>
      <c r="P23" s="15"/>
      <c r="Q23" s="15"/>
    </row>
    <row r="24" spans="1:21" ht="21.75" x14ac:dyDescent="0.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6"/>
      <c r="M24" s="16"/>
      <c r="N24" s="16"/>
      <c r="O24" s="16"/>
      <c r="P24" s="15"/>
      <c r="Q24" s="15"/>
    </row>
    <row r="25" spans="1:21" s="8" customFormat="1" ht="21.75" x14ac:dyDescent="0.6">
      <c r="A25" s="17"/>
      <c r="B25" s="120" t="s">
        <v>37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7"/>
      <c r="Q25" s="17"/>
    </row>
    <row r="26" spans="1:21" ht="42.75" customHeight="1" x14ac:dyDescent="0.6">
      <c r="A26" s="15"/>
      <c r="B26" s="25" t="s">
        <v>25</v>
      </c>
      <c r="C26" s="26" t="s">
        <v>8</v>
      </c>
      <c r="D26" s="176" t="s">
        <v>9</v>
      </c>
      <c r="E26" s="176"/>
      <c r="F26" s="179" t="s">
        <v>50</v>
      </c>
      <c r="G26" s="180"/>
      <c r="H26" s="179" t="s">
        <v>51</v>
      </c>
      <c r="I26" s="180"/>
      <c r="J26" s="29" t="s">
        <v>43</v>
      </c>
      <c r="K26" s="28" t="s">
        <v>36</v>
      </c>
      <c r="L26" s="27" t="s">
        <v>26</v>
      </c>
      <c r="M26" s="27" t="s">
        <v>44</v>
      </c>
      <c r="N26" s="176" t="s">
        <v>10</v>
      </c>
      <c r="O26" s="176"/>
      <c r="P26" s="15"/>
      <c r="Q26" s="16"/>
      <c r="R26" s="1"/>
      <c r="S26" s="1"/>
      <c r="T26" s="1"/>
      <c r="U26" s="1"/>
    </row>
    <row r="27" spans="1:21" ht="46.5" customHeight="1" x14ac:dyDescent="0.6">
      <c r="A27" s="15"/>
      <c r="B27" s="40">
        <v>1</v>
      </c>
      <c r="C27" s="32"/>
      <c r="D27" s="177"/>
      <c r="E27" s="177"/>
      <c r="F27" s="162"/>
      <c r="G27" s="163"/>
      <c r="H27" s="162"/>
      <c r="I27" s="163"/>
      <c r="J27" s="33"/>
      <c r="K27" s="34"/>
      <c r="L27" s="35"/>
      <c r="M27" s="36"/>
      <c r="N27" s="183">
        <f>M27*L27</f>
        <v>0</v>
      </c>
      <c r="O27" s="183"/>
      <c r="P27" s="15"/>
      <c r="Q27" s="16"/>
      <c r="R27" s="1"/>
      <c r="S27" s="1"/>
      <c r="T27" s="1"/>
      <c r="U27" s="1"/>
    </row>
    <row r="28" spans="1:21" ht="64.5" customHeight="1" x14ac:dyDescent="0.6">
      <c r="A28" s="15"/>
      <c r="B28" s="40">
        <v>2</v>
      </c>
      <c r="C28" s="32"/>
      <c r="D28" s="178"/>
      <c r="E28" s="178"/>
      <c r="F28" s="181"/>
      <c r="G28" s="182"/>
      <c r="H28" s="162"/>
      <c r="I28" s="163"/>
      <c r="J28" s="36"/>
      <c r="K28" s="37"/>
      <c r="L28" s="38"/>
      <c r="M28" s="38"/>
      <c r="N28" s="183">
        <f t="shared" ref="N28:N29" si="0">M28*L28</f>
        <v>0</v>
      </c>
      <c r="O28" s="183"/>
      <c r="P28" s="15"/>
      <c r="Q28" s="16"/>
      <c r="R28" s="1"/>
      <c r="S28" s="1"/>
      <c r="T28" s="1"/>
      <c r="U28" s="1"/>
    </row>
    <row r="29" spans="1:21" ht="45.75" customHeight="1" x14ac:dyDescent="0.6">
      <c r="A29" s="15"/>
      <c r="B29" s="40">
        <v>3</v>
      </c>
      <c r="C29" s="39"/>
      <c r="D29" s="119"/>
      <c r="E29" s="119"/>
      <c r="F29" s="162"/>
      <c r="G29" s="163"/>
      <c r="H29" s="162"/>
      <c r="I29" s="163"/>
      <c r="J29" s="36"/>
      <c r="K29" s="37"/>
      <c r="L29" s="38"/>
      <c r="M29" s="38"/>
      <c r="N29" s="183">
        <f t="shared" si="0"/>
        <v>0</v>
      </c>
      <c r="O29" s="183"/>
      <c r="P29" s="15"/>
      <c r="Q29" s="16"/>
      <c r="R29" s="1"/>
      <c r="S29" s="1"/>
      <c r="T29" s="1"/>
      <c r="U29" s="1"/>
    </row>
    <row r="30" spans="1:21" ht="21.75" x14ac:dyDescent="0.6">
      <c r="A30" s="15"/>
      <c r="B30" s="161" t="s">
        <v>11</v>
      </c>
      <c r="C30" s="161"/>
      <c r="D30" s="161"/>
      <c r="E30" s="161"/>
      <c r="F30" s="161"/>
      <c r="G30" s="161"/>
      <c r="H30" s="161"/>
      <c r="I30" s="161"/>
      <c r="J30" s="42"/>
      <c r="K30" s="41"/>
      <c r="L30" s="41"/>
      <c r="M30" s="41"/>
      <c r="N30" s="159">
        <f>SUM(N27:O29)</f>
        <v>0</v>
      </c>
      <c r="O30" s="160"/>
      <c r="P30" s="15"/>
      <c r="Q30" s="16"/>
      <c r="R30" s="1" t="s">
        <v>12</v>
      </c>
      <c r="S30" s="1"/>
      <c r="T30" s="1" t="s">
        <v>14</v>
      </c>
      <c r="U30" s="1"/>
    </row>
    <row r="31" spans="1:21" ht="21.75" x14ac:dyDescent="0.6">
      <c r="A31" s="15"/>
      <c r="B31" s="19"/>
      <c r="C31" s="19"/>
      <c r="D31" s="19"/>
      <c r="E31" s="19"/>
      <c r="F31" s="19"/>
      <c r="G31" s="19"/>
      <c r="H31" s="19"/>
      <c r="I31" s="19"/>
      <c r="J31" s="20"/>
      <c r="K31" s="21"/>
      <c r="L31" s="16"/>
      <c r="M31" s="16"/>
      <c r="N31" s="16"/>
      <c r="O31" s="16"/>
      <c r="P31" s="15"/>
      <c r="Q31" s="15"/>
    </row>
    <row r="32" spans="1:21" ht="21.75" x14ac:dyDescent="0.6">
      <c r="A32" s="15"/>
      <c r="B32" s="118" t="s">
        <v>53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5"/>
      <c r="Q32" s="15"/>
    </row>
    <row r="33" spans="1:17" ht="21.75" x14ac:dyDescent="0.6">
      <c r="A33" s="15"/>
      <c r="B33" s="43" t="s">
        <v>25</v>
      </c>
      <c r="C33" s="144" t="s">
        <v>28</v>
      </c>
      <c r="D33" s="144"/>
      <c r="E33" s="144" t="s">
        <v>29</v>
      </c>
      <c r="F33" s="144"/>
      <c r="G33" s="118" t="s">
        <v>30</v>
      </c>
      <c r="H33" s="118"/>
      <c r="I33" s="118"/>
      <c r="J33" s="118"/>
      <c r="K33" s="118" t="s">
        <v>31</v>
      </c>
      <c r="L33" s="118"/>
      <c r="M33" s="118" t="s">
        <v>32</v>
      </c>
      <c r="N33" s="118"/>
      <c r="O33" s="118"/>
      <c r="P33" s="15"/>
      <c r="Q33" s="15"/>
    </row>
    <row r="34" spans="1:17" ht="21.75" x14ac:dyDescent="0.6">
      <c r="A34" s="15"/>
      <c r="B34" s="40">
        <v>1</v>
      </c>
      <c r="C34" s="145"/>
      <c r="D34" s="146"/>
      <c r="E34" s="145"/>
      <c r="F34" s="146"/>
      <c r="G34" s="119"/>
      <c r="H34" s="119"/>
      <c r="I34" s="119"/>
      <c r="J34" s="119"/>
      <c r="K34" s="119"/>
      <c r="L34" s="119"/>
      <c r="M34" s="117"/>
      <c r="N34" s="117"/>
      <c r="O34" s="117"/>
      <c r="P34" s="15"/>
      <c r="Q34" s="15"/>
    </row>
    <row r="35" spans="1:17" ht="21.75" x14ac:dyDescent="0.6">
      <c r="A35" s="15"/>
      <c r="B35" s="40">
        <v>2</v>
      </c>
      <c r="C35" s="145"/>
      <c r="D35" s="146"/>
      <c r="E35" s="145"/>
      <c r="F35" s="146"/>
      <c r="G35" s="119"/>
      <c r="H35" s="119"/>
      <c r="I35" s="119"/>
      <c r="J35" s="119"/>
      <c r="K35" s="119"/>
      <c r="L35" s="119"/>
      <c r="M35" s="117"/>
      <c r="N35" s="117"/>
      <c r="O35" s="117"/>
      <c r="P35" s="15"/>
      <c r="Q35" s="15"/>
    </row>
    <row r="36" spans="1:17" ht="26.25" customHeight="1" x14ac:dyDescent="0.6">
      <c r="A36" s="15"/>
      <c r="B36" s="40">
        <v>3</v>
      </c>
      <c r="C36" s="145"/>
      <c r="D36" s="146"/>
      <c r="E36" s="145"/>
      <c r="F36" s="146"/>
      <c r="G36" s="119"/>
      <c r="H36" s="119"/>
      <c r="I36" s="119"/>
      <c r="J36" s="119"/>
      <c r="K36" s="119"/>
      <c r="L36" s="119"/>
      <c r="M36" s="117"/>
      <c r="N36" s="117"/>
      <c r="O36" s="117"/>
      <c r="P36" s="15"/>
      <c r="Q36" s="15"/>
    </row>
    <row r="37" spans="1:17" ht="21.75" x14ac:dyDescent="0.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6"/>
      <c r="M37" s="18"/>
      <c r="N37" s="16"/>
      <c r="O37" s="16"/>
      <c r="P37" s="15"/>
      <c r="Q37" s="15"/>
    </row>
    <row r="38" spans="1:17" ht="21.75" x14ac:dyDescent="0.6">
      <c r="A38" s="15"/>
      <c r="B38" s="141" t="s">
        <v>57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5"/>
      <c r="Q38" s="15"/>
    </row>
    <row r="39" spans="1:17" ht="21.75" x14ac:dyDescent="0.6">
      <c r="A39" s="15"/>
      <c r="B39" s="30" t="s">
        <v>23</v>
      </c>
      <c r="C39" s="162"/>
      <c r="D39" s="163"/>
      <c r="E39" s="30" t="s">
        <v>24</v>
      </c>
      <c r="F39" s="44"/>
      <c r="G39" s="164" t="s">
        <v>13</v>
      </c>
      <c r="H39" s="165"/>
      <c r="I39" s="119"/>
      <c r="J39" s="119"/>
      <c r="K39" s="119"/>
      <c r="L39" s="119"/>
      <c r="M39" s="119"/>
      <c r="N39" s="119"/>
      <c r="O39" s="119"/>
      <c r="P39" s="15"/>
      <c r="Q39" s="15"/>
    </row>
    <row r="40" spans="1:17" ht="21.75" x14ac:dyDescent="0.6">
      <c r="A40" s="15"/>
      <c r="B40" s="141" t="s">
        <v>15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5"/>
      <c r="Q40" s="15"/>
    </row>
    <row r="41" spans="1:17" ht="21.75" x14ac:dyDescent="0.6">
      <c r="A41" s="15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5"/>
      <c r="Q41" s="15"/>
    </row>
    <row r="42" spans="1:17" ht="21.75" x14ac:dyDescent="0.6">
      <c r="A42" s="15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5"/>
      <c r="Q42" s="15"/>
    </row>
    <row r="43" spans="1:17" ht="21.75" x14ac:dyDescent="0.6">
      <c r="A43" s="15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5"/>
      <c r="Q43" s="15"/>
    </row>
    <row r="44" spans="1:17" ht="21.75" x14ac:dyDescent="0.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 ht="21.75" x14ac:dyDescent="0.6">
      <c r="A45" s="15"/>
      <c r="B45" s="143" t="s">
        <v>16</v>
      </c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5"/>
      <c r="Q45" s="15"/>
    </row>
    <row r="46" spans="1:17" ht="21.75" x14ac:dyDescent="0.6">
      <c r="A46" s="15"/>
      <c r="B46" s="156" t="s">
        <v>18</v>
      </c>
      <c r="C46" s="157"/>
      <c r="D46" s="158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5"/>
      <c r="Q46" s="15"/>
    </row>
    <row r="47" spans="1:17" ht="21.75" x14ac:dyDescent="0.6">
      <c r="A47" s="15"/>
      <c r="B47" s="153" t="s">
        <v>17</v>
      </c>
      <c r="C47" s="154"/>
      <c r="D47" s="155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5"/>
      <c r="Q47" s="15"/>
    </row>
    <row r="48" spans="1:17" ht="21.75" x14ac:dyDescent="0.6">
      <c r="A48" s="15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15"/>
      <c r="M48" s="15"/>
      <c r="N48" s="15"/>
      <c r="O48" s="15"/>
      <c r="P48" s="15"/>
      <c r="Q48" s="15"/>
    </row>
    <row r="49" spans="1:17" ht="21.75" x14ac:dyDescent="0.6">
      <c r="A49" s="15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15"/>
      <c r="M49" s="15"/>
      <c r="N49" s="15"/>
      <c r="O49" s="15"/>
      <c r="P49" s="15"/>
      <c r="Q49" s="15"/>
    </row>
    <row r="50" spans="1:17" ht="22.5" thickBot="1" x14ac:dyDescent="0.65">
      <c r="A50" s="15"/>
      <c r="B50" s="22"/>
      <c r="C50" s="22"/>
      <c r="D50" s="15"/>
      <c r="E50" s="23"/>
      <c r="F50" s="23"/>
      <c r="G50" s="23"/>
      <c r="H50" s="24"/>
      <c r="I50" s="24"/>
      <c r="J50" s="24"/>
      <c r="K50" s="22"/>
      <c r="L50" s="15"/>
      <c r="M50" s="15"/>
      <c r="N50" s="15"/>
      <c r="O50" s="15"/>
      <c r="P50" s="15"/>
      <c r="Q50" s="15"/>
    </row>
    <row r="51" spans="1:17" ht="21.75" x14ac:dyDescent="0.6">
      <c r="A51" s="15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15"/>
      <c r="M51" s="15"/>
      <c r="N51" s="15"/>
      <c r="O51" s="15"/>
      <c r="P51" s="15"/>
      <c r="Q51" s="15"/>
    </row>
    <row r="52" spans="1:17" ht="21.75" x14ac:dyDescent="0.6">
      <c r="A52" s="15"/>
      <c r="B52" s="22"/>
      <c r="C52" s="22"/>
      <c r="D52" s="15"/>
      <c r="E52" s="140" t="s">
        <v>48</v>
      </c>
      <c r="F52" s="140"/>
      <c r="G52" s="140"/>
      <c r="H52" s="140"/>
      <c r="I52" s="140"/>
      <c r="J52" s="140"/>
      <c r="K52" s="22"/>
      <c r="L52" s="15"/>
      <c r="M52" s="15"/>
      <c r="N52" s="15"/>
      <c r="O52" s="15"/>
      <c r="P52" s="15"/>
      <c r="Q52" s="15"/>
    </row>
    <row r="53" spans="1:17" ht="21.75" x14ac:dyDescent="0.6">
      <c r="A53" s="15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15"/>
      <c r="M53" s="15"/>
      <c r="N53" s="15"/>
      <c r="O53" s="15"/>
      <c r="P53" s="15"/>
      <c r="Q53" s="15"/>
    </row>
    <row r="54" spans="1:17" ht="21.75" x14ac:dyDescent="0.6">
      <c r="A54" s="15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15"/>
      <c r="M54" s="15"/>
      <c r="N54" s="15"/>
      <c r="O54" s="15"/>
      <c r="P54" s="15"/>
      <c r="Q54" s="15"/>
    </row>
    <row r="55" spans="1:17" x14ac:dyDescent="0.25"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7" x14ac:dyDescent="0.25"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7" x14ac:dyDescent="0.25"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7" x14ac:dyDescent="0.25">
      <c r="B58" s="14"/>
      <c r="C58" s="14"/>
      <c r="D58" s="14"/>
      <c r="E58" s="14"/>
      <c r="F58" s="14"/>
      <c r="G58" s="14"/>
      <c r="H58" s="14"/>
      <c r="I58" s="14"/>
      <c r="J58" s="14"/>
      <c r="K58" s="14"/>
    </row>
  </sheetData>
  <mergeCells count="106">
    <mergeCell ref="B25:O25"/>
    <mergeCell ref="D26:E26"/>
    <mergeCell ref="D27:E27"/>
    <mergeCell ref="D28:E28"/>
    <mergeCell ref="D29:E29"/>
    <mergeCell ref="F26:G26"/>
    <mergeCell ref="F27:G27"/>
    <mergeCell ref="H26:I26"/>
    <mergeCell ref="H27:I27"/>
    <mergeCell ref="H28:I28"/>
    <mergeCell ref="F28:G28"/>
    <mergeCell ref="F29:G29"/>
    <mergeCell ref="H29:I29"/>
    <mergeCell ref="N26:O26"/>
    <mergeCell ref="N27:O27"/>
    <mergeCell ref="N28:O28"/>
    <mergeCell ref="N29:O29"/>
    <mergeCell ref="B2:E2"/>
    <mergeCell ref="F2:I2"/>
    <mergeCell ref="B7:C7"/>
    <mergeCell ref="D7:E7"/>
    <mergeCell ref="L7:M7"/>
    <mergeCell ref="N7:O7"/>
    <mergeCell ref="J2:O2"/>
    <mergeCell ref="H7:K7"/>
    <mergeCell ref="F7:G7"/>
    <mergeCell ref="M34:O34"/>
    <mergeCell ref="M35:O35"/>
    <mergeCell ref="C39:D39"/>
    <mergeCell ref="G39:H39"/>
    <mergeCell ref="B32:O32"/>
    <mergeCell ref="I39:O39"/>
    <mergeCell ref="B38:O38"/>
    <mergeCell ref="K33:L33"/>
    <mergeCell ref="K34:L34"/>
    <mergeCell ref="K35:L35"/>
    <mergeCell ref="B11:E11"/>
    <mergeCell ref="B14:E14"/>
    <mergeCell ref="B15:E15"/>
    <mergeCell ref="K22:L22"/>
    <mergeCell ref="K23:L23"/>
    <mergeCell ref="D19:J19"/>
    <mergeCell ref="D20:J20"/>
    <mergeCell ref="D21:J21"/>
    <mergeCell ref="B23:C23"/>
    <mergeCell ref="B19:C19"/>
    <mergeCell ref="B20:C20"/>
    <mergeCell ref="B21:C21"/>
    <mergeCell ref="B22:C22"/>
    <mergeCell ref="F14:H14"/>
    <mergeCell ref="F15:H15"/>
    <mergeCell ref="F16:H16"/>
    <mergeCell ref="I15:O15"/>
    <mergeCell ref="I16:O16"/>
    <mergeCell ref="B18:O18"/>
    <mergeCell ref="K19:L19"/>
    <mergeCell ref="K20:L20"/>
    <mergeCell ref="K21:L21"/>
    <mergeCell ref="F12:H12"/>
    <mergeCell ref="F13:H13"/>
    <mergeCell ref="E52:J52"/>
    <mergeCell ref="B40:O40"/>
    <mergeCell ref="B41:O43"/>
    <mergeCell ref="B45:O45"/>
    <mergeCell ref="E46:O46"/>
    <mergeCell ref="E47:O47"/>
    <mergeCell ref="E33:F33"/>
    <mergeCell ref="C34:D34"/>
    <mergeCell ref="C35:D35"/>
    <mergeCell ref="C36:D36"/>
    <mergeCell ref="E34:F34"/>
    <mergeCell ref="E35:F35"/>
    <mergeCell ref="E36:F36"/>
    <mergeCell ref="B12:E12"/>
    <mergeCell ref="B13:E13"/>
    <mergeCell ref="B47:D47"/>
    <mergeCell ref="B46:D46"/>
    <mergeCell ref="C33:D33"/>
    <mergeCell ref="N30:O30"/>
    <mergeCell ref="B30:I30"/>
    <mergeCell ref="K36:L36"/>
    <mergeCell ref="M33:O33"/>
    <mergeCell ref="B5:C6"/>
    <mergeCell ref="D5:E6"/>
    <mergeCell ref="F5:G6"/>
    <mergeCell ref="H5:K6"/>
    <mergeCell ref="L5:L6"/>
    <mergeCell ref="M5:O6"/>
    <mergeCell ref="B10:O10"/>
    <mergeCell ref="B4:O4"/>
    <mergeCell ref="M36:O36"/>
    <mergeCell ref="G33:J33"/>
    <mergeCell ref="G34:J34"/>
    <mergeCell ref="G35:J35"/>
    <mergeCell ref="G36:J36"/>
    <mergeCell ref="F11:H11"/>
    <mergeCell ref="I11:O11"/>
    <mergeCell ref="I12:O12"/>
    <mergeCell ref="I13:O13"/>
    <mergeCell ref="I14:O14"/>
    <mergeCell ref="M19:O19"/>
    <mergeCell ref="M20:O20"/>
    <mergeCell ref="D22:J22"/>
    <mergeCell ref="D23:J23"/>
    <mergeCell ref="B16:E16"/>
    <mergeCell ref="M21:O23"/>
  </mergeCells>
  <dataValidations count="4">
    <dataValidation type="list" allowBlank="1" showInputMessage="1" showErrorMessage="1" sqref="K27" xr:uid="{CEB0E021-342B-423C-8903-F54897A63B5F}">
      <formula1>"220V,380V,440V,Pneumatico"</formula1>
    </dataValidation>
    <dataValidation type="list" allowBlank="1" showInputMessage="1" showErrorMessage="1" sqref="J27" xr:uid="{66CD6EAD-20C1-45D9-9217-892CEECCA88C}">
      <mc:AlternateContent xmlns:x12ac="http://schemas.microsoft.com/office/spreadsheetml/2011/1/ac" xmlns:mc="http://schemas.openxmlformats.org/markup-compatibility/2006">
        <mc:Choice Requires="x12ac">
          <x12ac:list>1CV,"1,5CV",2CV,3CV,5CV</x12ac:list>
        </mc:Choice>
        <mc:Fallback>
          <formula1>"1CV,1,5CV,2CV,3CV,5CV"</formula1>
        </mc:Fallback>
      </mc:AlternateContent>
    </dataValidation>
    <dataValidation type="list" allowBlank="1" showInputMessage="1" showErrorMessage="1" sqref="F27:I27" xr:uid="{798E22E3-3EEF-41CF-9555-9AFCCB0D710A}">
      <formula1>"ASTM-A36,AISI-304,AISI-316L"</formula1>
    </dataValidation>
    <dataValidation type="list" allowBlank="1" showInputMessage="1" showErrorMessage="1" sqref="M20" xr:uid="{E126C4D6-DAF0-4FFA-80CE-E75AC3757D45}">
      <formula1>"SIM,NÃO"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Ordem de Produção</vt:lpstr>
      <vt:lpstr>Pedido</vt:lpstr>
      <vt:lpstr>'Ordem de Produção'!Area_de_impressao</vt:lpstr>
      <vt:lpstr>Pedido!Area_de_impressao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Agimix Desenvolvimento</dc:creator>
  <cp:lastModifiedBy>wilbnerrodrigues9@outlook.com</cp:lastModifiedBy>
  <cp:lastPrinted>2025-10-16T12:27:39Z</cp:lastPrinted>
  <dcterms:created xsi:type="dcterms:W3CDTF">2024-06-19T12:30:10Z</dcterms:created>
  <dcterms:modified xsi:type="dcterms:W3CDTF">2025-10-16T12:30:45Z</dcterms:modified>
</cp:coreProperties>
</file>